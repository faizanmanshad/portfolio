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versity\7th Semester\RCD-2\RETAINING WALL CEP\"/>
    </mc:Choice>
  </mc:AlternateContent>
  <xr:revisionPtr revIDLastSave="0" documentId="13_ncr:1_{56DBDC2A-FB03-4A5E-88D2-489D2CFDE9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thout Shear Key" sheetId="2" r:id="rId1"/>
    <sheet name="With Shear Ke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D11" i="2"/>
  <c r="C13" i="4"/>
  <c r="J10" i="4" l="1"/>
  <c r="I9" i="4"/>
  <c r="F45" i="4"/>
  <c r="F40" i="4"/>
  <c r="C45" i="4"/>
  <c r="E45" i="4" s="1"/>
  <c r="C60" i="4"/>
  <c r="D44" i="4"/>
  <c r="D43" i="4"/>
  <c r="F42" i="4"/>
  <c r="D42" i="4"/>
  <c r="C42" i="4"/>
  <c r="D41" i="4"/>
  <c r="D40" i="4"/>
  <c r="C34" i="4"/>
  <c r="C33" i="4"/>
  <c r="D26" i="4"/>
  <c r="D25" i="4"/>
  <c r="D24" i="4"/>
  <c r="D23" i="4"/>
  <c r="D22" i="4"/>
  <c r="D21" i="4"/>
  <c r="D20" i="4"/>
  <c r="D19" i="4"/>
  <c r="D18" i="4"/>
  <c r="D17" i="4"/>
  <c r="D11" i="4"/>
  <c r="C32" i="4" s="1"/>
  <c r="R9" i="4"/>
  <c r="L7" i="4" s="1"/>
  <c r="I11" i="4"/>
  <c r="R8" i="4"/>
  <c r="R7" i="4"/>
  <c r="C40" i="4" s="1"/>
  <c r="P7" i="4"/>
  <c r="O6" i="4"/>
  <c r="I6" i="4"/>
  <c r="P4" i="4"/>
  <c r="H4" i="4"/>
  <c r="J3" i="4"/>
  <c r="I9" i="2"/>
  <c r="P4" i="2"/>
  <c r="C57" i="2"/>
  <c r="R7" i="2"/>
  <c r="C42" i="2" s="1"/>
  <c r="R9" i="2"/>
  <c r="R8" i="2"/>
  <c r="F42" i="2" s="1"/>
  <c r="F38" i="2"/>
  <c r="F40" i="2"/>
  <c r="D40" i="2"/>
  <c r="D39" i="2"/>
  <c r="D38" i="2"/>
  <c r="D42" i="2"/>
  <c r="D41" i="2"/>
  <c r="C40" i="2"/>
  <c r="H4" i="2"/>
  <c r="P7" i="2"/>
  <c r="C32" i="2"/>
  <c r="C31" i="2"/>
  <c r="C30" i="2"/>
  <c r="O6" i="2"/>
  <c r="I6" i="2"/>
  <c r="J3" i="2"/>
  <c r="D26" i="2"/>
  <c r="D25" i="2"/>
  <c r="D24" i="2"/>
  <c r="D23" i="2"/>
  <c r="D22" i="2"/>
  <c r="D21" i="2"/>
  <c r="D20" i="2"/>
  <c r="D19" i="2"/>
  <c r="D18" i="2"/>
  <c r="D17" i="2"/>
  <c r="E40" i="2" l="1"/>
  <c r="G45" i="4"/>
  <c r="C36" i="4"/>
  <c r="C35" i="4"/>
  <c r="C37" i="4" s="1"/>
  <c r="R10" i="4"/>
  <c r="F43" i="4" s="1"/>
  <c r="E42" i="4"/>
  <c r="G42" i="4" s="1"/>
  <c r="E40" i="4"/>
  <c r="F44" i="4"/>
  <c r="C41" i="4"/>
  <c r="E41" i="4" s="1"/>
  <c r="G40" i="4"/>
  <c r="C44" i="4"/>
  <c r="E44" i="4" s="1"/>
  <c r="C43" i="4"/>
  <c r="E43" i="4" s="1"/>
  <c r="G40" i="2"/>
  <c r="R10" i="2"/>
  <c r="F41" i="2" s="1"/>
  <c r="C41" i="2"/>
  <c r="E41" i="2" s="1"/>
  <c r="C38" i="2"/>
  <c r="E38" i="2" s="1"/>
  <c r="E42" i="2"/>
  <c r="G42" i="2" s="1"/>
  <c r="L7" i="2"/>
  <c r="C39" i="2"/>
  <c r="E39" i="2" s="1"/>
  <c r="C34" i="2"/>
  <c r="C33" i="2"/>
  <c r="C35" i="2" l="1"/>
  <c r="E46" i="4"/>
  <c r="J7" i="4"/>
  <c r="F41" i="4"/>
  <c r="G41" i="4" s="1"/>
  <c r="G46" i="4" s="1"/>
  <c r="G43" i="4"/>
  <c r="G44" i="4"/>
  <c r="G41" i="2"/>
  <c r="J7" i="2"/>
  <c r="F39" i="2"/>
  <c r="G39" i="2" s="1"/>
  <c r="E43" i="2"/>
  <c r="G38" i="2"/>
  <c r="C59" i="4" l="1"/>
  <c r="F60" i="4" s="1"/>
  <c r="C51" i="4"/>
  <c r="D51" i="4" s="1"/>
  <c r="F71" i="4" s="1"/>
  <c r="F59" i="4"/>
  <c r="G43" i="2"/>
  <c r="C48" i="2"/>
  <c r="D48" i="2" s="1"/>
  <c r="F68" i="2" s="1"/>
  <c r="F56" i="2"/>
  <c r="C56" i="2" l="1"/>
  <c r="F57" i="2" s="1"/>
  <c r="G31" i="2"/>
  <c r="H31" i="2" s="1"/>
  <c r="E68" i="2" s="1"/>
  <c r="G33" i="4"/>
  <c r="H33" i="4" s="1"/>
  <c r="E71" i="4" s="1"/>
  <c r="C61" i="4"/>
  <c r="G58" i="4"/>
  <c r="F58" i="4"/>
  <c r="C63" i="4" l="1"/>
  <c r="C62" i="4"/>
  <c r="G55" i="2"/>
  <c r="F55" i="2"/>
  <c r="C58" i="2"/>
  <c r="C64" i="4" l="1"/>
  <c r="D66" i="4" s="1"/>
  <c r="G71" i="4" s="1"/>
  <c r="C59" i="2"/>
  <c r="C60" i="2"/>
  <c r="B66" i="4" l="1"/>
  <c r="C61" i="2"/>
  <c r="B63" i="2" s="1"/>
  <c r="D63" i="2" l="1"/>
  <c r="G68" i="2" s="1"/>
</calcChain>
</file>

<file path=xl/sharedStrings.xml><?xml version="1.0" encoding="utf-8"?>
<sst xmlns="http://schemas.openxmlformats.org/spreadsheetml/2006/main" count="128" uniqueCount="61">
  <si>
    <t>h</t>
  </si>
  <si>
    <t>Tp Width</t>
  </si>
  <si>
    <t>Btm Width</t>
  </si>
  <si>
    <t>Slab Depth</t>
  </si>
  <si>
    <t>Heel Width</t>
  </si>
  <si>
    <t>Toe Width</t>
  </si>
  <si>
    <t>0.3m</t>
  </si>
  <si>
    <t>D/2</t>
  </si>
  <si>
    <t>D</t>
  </si>
  <si>
    <t>H/12</t>
  </si>
  <si>
    <t>0.7H</t>
  </si>
  <si>
    <t>0.5H</t>
  </si>
  <si>
    <t>H/8</t>
  </si>
  <si>
    <t>H/6</t>
  </si>
  <si>
    <t>0.3B</t>
  </si>
  <si>
    <t>0.4B</t>
  </si>
  <si>
    <t>Location</t>
  </si>
  <si>
    <t>Conditions</t>
  </si>
  <si>
    <t>Φ (°)</t>
  </si>
  <si>
    <t>H (ft)</t>
  </si>
  <si>
    <t>Ft</t>
  </si>
  <si>
    <t>Assumption (ft)</t>
  </si>
  <si>
    <t>Overturning</t>
  </si>
  <si>
    <t>Ka</t>
  </si>
  <si>
    <t>h'</t>
  </si>
  <si>
    <t>Moment Arm (ft)</t>
  </si>
  <si>
    <r>
      <t>Volume (ft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</si>
  <si>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Weight (lb)</t>
  </si>
  <si>
    <t>γ (psf)</t>
  </si>
  <si>
    <t>W1</t>
  </si>
  <si>
    <t>W2</t>
  </si>
  <si>
    <t>W3</t>
  </si>
  <si>
    <t>W</t>
  </si>
  <si>
    <t>W4</t>
  </si>
  <si>
    <t>W5</t>
  </si>
  <si>
    <t>Surcharge (lb/ft)</t>
  </si>
  <si>
    <t>y</t>
  </si>
  <si>
    <t>P(lbs)</t>
  </si>
  <si>
    <t>Mo (lb.ft)</t>
  </si>
  <si>
    <t>Moment (lb.ft)</t>
  </si>
  <si>
    <r>
      <t>γ</t>
    </r>
    <r>
      <rPr>
        <b/>
        <vertAlign val="subscript"/>
        <sz val="11"/>
        <color theme="1"/>
        <rFont val="Calibri"/>
        <family val="2"/>
        <scheme val="minor"/>
      </rPr>
      <t>soil</t>
    </r>
    <r>
      <rPr>
        <b/>
        <sz val="11"/>
        <color theme="1"/>
        <rFont val="Calibri"/>
        <family val="2"/>
        <scheme val="minor"/>
      </rPr>
      <t xml:space="preserve"> (psf)</t>
    </r>
  </si>
  <si>
    <r>
      <t>γ</t>
    </r>
    <r>
      <rPr>
        <b/>
        <vertAlign val="subscript"/>
        <sz val="11"/>
        <color theme="1"/>
        <rFont val="Calibri"/>
        <family val="2"/>
        <scheme val="minor"/>
      </rPr>
      <t>conc</t>
    </r>
    <r>
      <rPr>
        <b/>
        <sz val="11"/>
        <color theme="1"/>
        <rFont val="Calibri"/>
        <family val="2"/>
        <scheme val="minor"/>
      </rPr>
      <t xml:space="preserve"> (psf)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</si>
  <si>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(psf)</t>
    </r>
  </si>
  <si>
    <t>SLIDING</t>
  </si>
  <si>
    <t>BEARING</t>
  </si>
  <si>
    <t>a</t>
  </si>
  <si>
    <t>q1</t>
  </si>
  <si>
    <t>a &gt; l/3</t>
  </si>
  <si>
    <t>if</t>
  </si>
  <si>
    <t>q2</t>
  </si>
  <si>
    <t>a &lt; l/3</t>
  </si>
  <si>
    <t>a = l/3</t>
  </si>
  <si>
    <t>l/3</t>
  </si>
  <si>
    <t>Condition</t>
  </si>
  <si>
    <t>q</t>
  </si>
  <si>
    <t>OVERTURNING</t>
  </si>
  <si>
    <t>Shear Key Depth</t>
  </si>
  <si>
    <t>W6</t>
  </si>
  <si>
    <t>f</t>
  </si>
  <si>
    <t>Height to be Retained</t>
  </si>
  <si>
    <t>Under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</si>
</sst>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 style="thick">
        <color auto="1"/>
      </top>
      <bottom/>
      <diagonal/>
    </border>
    <border diagonalDown="1">
      <left/>
      <right/>
      <top/>
      <bottom/>
      <diagonal style="thick">
        <color auto="1"/>
      </diagonal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 diagonalDown="1">
      <left/>
      <right/>
      <top/>
      <bottom style="thick">
        <color auto="1"/>
      </bottom>
      <diagonal style="thick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4" xfId="0" applyBorder="1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0" xfId="0" applyNumberFormat="1" applyBorder="1"/>
    <xf numFmtId="0" fontId="5" fillId="0" borderId="0" xfId="0" applyFont="1" applyAlignment="1">
      <alignment horizontal="center" vertical="center"/>
    </xf>
    <xf numFmtId="2" fontId="0" fillId="0" borderId="18" xfId="0" applyNumberFormat="1" applyBorder="1"/>
    <xf numFmtId="0" fontId="5" fillId="0" borderId="5" xfId="0" applyFont="1" applyBorder="1"/>
    <xf numFmtId="0" fontId="0" fillId="0" borderId="31" xfId="0" applyBorder="1"/>
    <xf numFmtId="0" fontId="2" fillId="2" borderId="11" xfId="0" applyFont="1" applyFill="1" applyBorder="1"/>
    <xf numFmtId="2" fontId="0" fillId="0" borderId="19" xfId="0" applyNumberFormat="1" applyBorder="1" applyAlignment="1">
      <alignment horizontal="center" vertical="center"/>
    </xf>
    <xf numFmtId="0" fontId="2" fillId="0" borderId="15" xfId="0" applyFont="1" applyBorder="1"/>
    <xf numFmtId="2" fontId="0" fillId="0" borderId="16" xfId="0" applyNumberFormat="1" applyBorder="1"/>
    <xf numFmtId="0" fontId="2" fillId="0" borderId="17" xfId="0" applyFont="1" applyBorder="1"/>
    <xf numFmtId="0" fontId="3" fillId="0" borderId="15" xfId="0" applyFont="1" applyBorder="1"/>
    <xf numFmtId="0" fontId="1" fillId="0" borderId="0" xfId="0" applyFont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10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5" fontId="0" fillId="0" borderId="16" xfId="0" applyNumberFormat="1" applyBorder="1"/>
    <xf numFmtId="165" fontId="0" fillId="0" borderId="32" xfId="0" applyNumberFormat="1" applyBorder="1"/>
    <xf numFmtId="165" fontId="2" fillId="2" borderId="11" xfId="0" applyNumberFormat="1" applyFont="1" applyFill="1" applyBorder="1"/>
    <xf numFmtId="0" fontId="1" fillId="0" borderId="16" xfId="0" applyFont="1" applyBorder="1" applyProtection="1">
      <protection locked="0"/>
    </xf>
    <xf numFmtId="0" fontId="1" fillId="0" borderId="19" xfId="0" applyFont="1" applyBorder="1" applyProtection="1">
      <protection locked="0"/>
    </xf>
    <xf numFmtId="2" fontId="0" fillId="0" borderId="16" xfId="0" applyNumberFormat="1" applyBorder="1" applyAlignment="1">
      <alignment horizontal="center"/>
    </xf>
    <xf numFmtId="164" fontId="0" fillId="3" borderId="0" xfId="0" applyNumberFormat="1" applyFill="1"/>
    <xf numFmtId="0" fontId="6" fillId="0" borderId="31" xfId="0" applyFont="1" applyBorder="1" applyAlignment="1">
      <alignment horizontal="center" vertical="center"/>
    </xf>
    <xf numFmtId="0" fontId="2" fillId="2" borderId="36" xfId="0" applyFont="1" applyFill="1" applyBorder="1"/>
    <xf numFmtId="165" fontId="2" fillId="2" borderId="36" xfId="0" applyNumberFormat="1" applyFont="1" applyFill="1" applyBorder="1"/>
    <xf numFmtId="0" fontId="0" fillId="0" borderId="35" xfId="0" applyBorder="1"/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" fillId="0" borderId="40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2" fontId="0" fillId="0" borderId="13" xfId="0" applyNumberFormat="1" applyBorder="1"/>
    <xf numFmtId="2" fontId="0" fillId="0" borderId="23" xfId="0" applyNumberFormat="1" applyBorder="1"/>
    <xf numFmtId="2" fontId="0" fillId="0" borderId="31" xfId="0" applyNumberFormat="1" applyBorder="1"/>
    <xf numFmtId="2" fontId="0" fillId="0" borderId="19" xfId="0" applyNumberFormat="1" applyBorder="1"/>
    <xf numFmtId="0" fontId="2" fillId="0" borderId="26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" fillId="0" borderId="16" xfId="0" applyFont="1" applyBorder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157656</xdr:colOff>
      <xdr:row>4</xdr:row>
      <xdr:rowOff>72258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D056F37-C443-2675-F2B3-354377F3DCED}"/>
                </a:ext>
              </a:extLst>
            </xdr:cNvPr>
            <xdr:cNvSpPr txBox="1"/>
          </xdr:nvSpPr>
          <xdr:spPr>
            <a:xfrm>
              <a:off x="7133897" y="1142999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W1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D056F37-C443-2675-F2B3-354377F3DCED}"/>
                </a:ext>
              </a:extLst>
            </xdr:cNvPr>
            <xdr:cNvSpPr txBox="1"/>
          </xdr:nvSpPr>
          <xdr:spPr>
            <a:xfrm>
              <a:off x="7133897" y="1142999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W1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+mn-lt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356040</xdr:colOff>
      <xdr:row>6</xdr:row>
      <xdr:rowOff>145830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E8740CD-CB1E-48C3-8E9F-276F0668A243}"/>
                </a:ext>
              </a:extLst>
            </xdr:cNvPr>
            <xdr:cNvSpPr txBox="1"/>
          </xdr:nvSpPr>
          <xdr:spPr>
            <a:xfrm>
              <a:off x="7332281" y="2096813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W3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E8740CD-CB1E-48C3-8E9F-276F0668A243}"/>
                </a:ext>
              </a:extLst>
            </xdr:cNvPr>
            <xdr:cNvSpPr txBox="1"/>
          </xdr:nvSpPr>
          <xdr:spPr>
            <a:xfrm>
              <a:off x="7332281" y="2096813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W3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+mn-lt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324509</xdr:colOff>
      <xdr:row>5</xdr:row>
      <xdr:rowOff>107730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57028C6-7270-4748-A884-40214963852B}"/>
                </a:ext>
              </a:extLst>
            </xdr:cNvPr>
            <xdr:cNvSpPr txBox="1"/>
          </xdr:nvSpPr>
          <xdr:spPr>
            <a:xfrm>
              <a:off x="7662043" y="161859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W2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57028C6-7270-4748-A884-40214963852B}"/>
                </a:ext>
              </a:extLst>
            </xdr:cNvPr>
            <xdr:cNvSpPr txBox="1"/>
          </xdr:nvSpPr>
          <xdr:spPr>
            <a:xfrm>
              <a:off x="7662043" y="161859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W2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+mn-lt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11</xdr:col>
      <xdr:colOff>74887</xdr:colOff>
      <xdr:row>3</xdr:row>
      <xdr:rowOff>101161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AE08D02-7FF6-4E1C-8601-6397DA0E2663}"/>
                </a:ext>
              </a:extLst>
            </xdr:cNvPr>
            <xdr:cNvSpPr txBox="1"/>
          </xdr:nvSpPr>
          <xdr:spPr>
            <a:xfrm>
              <a:off x="7773715" y="73178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W4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AE08D02-7FF6-4E1C-8601-6397DA0E2663}"/>
                </a:ext>
              </a:extLst>
            </xdr:cNvPr>
            <xdr:cNvSpPr txBox="1"/>
          </xdr:nvSpPr>
          <xdr:spPr>
            <a:xfrm>
              <a:off x="7773715" y="73178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W4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+mn-lt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128752</xdr:colOff>
      <xdr:row>4</xdr:row>
      <xdr:rowOff>49924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1DD60D1-8470-4651-8A53-D57E5A54AC69}"/>
                </a:ext>
              </a:extLst>
            </xdr:cNvPr>
            <xdr:cNvSpPr txBox="1"/>
          </xdr:nvSpPr>
          <xdr:spPr>
            <a:xfrm>
              <a:off x="8129752" y="1120665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rtl="0" fontAlgn="auto"/>
              <a:r>
                <a:rPr lang="en-US" sz="1100" b="1">
                  <a:solidFill>
                    <a:srgbClr val="00B0F0"/>
                  </a:solidFill>
                </a:rPr>
                <a:t>W5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1DD60D1-8470-4651-8A53-D57E5A54AC69}"/>
                </a:ext>
              </a:extLst>
            </xdr:cNvPr>
            <xdr:cNvSpPr txBox="1"/>
          </xdr:nvSpPr>
          <xdr:spPr>
            <a:xfrm>
              <a:off x="8129752" y="1120665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rtl="0" fontAlgn="auto"/>
              <a:r>
                <a:rPr lang="en-US" sz="1100" b="1">
                  <a:solidFill>
                    <a:srgbClr val="00B0F0"/>
                  </a:solidFill>
                </a:rPr>
                <a:t>W5</a:t>
              </a:r>
              <a:r>
                <a:rPr lang="en-US" sz="1100" i="0">
                  <a:solidFill>
                    <a:srgbClr val="00B0F0"/>
                  </a:solidFill>
                  <a:latin typeface="+mn-lt"/>
                  <a:ea typeface="+mn-ea"/>
                  <a:cs typeface="+mn-cs"/>
                </a:rPr>
                <a:t>↓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5</xdr:col>
      <xdr:colOff>1070741</xdr:colOff>
      <xdr:row>41</xdr:row>
      <xdr:rowOff>164223</xdr:rowOff>
    </xdr:from>
    <xdr:ext cx="360933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32EE49-3239-4B0D-8418-D75422B81FBF}"/>
            </a:ext>
          </a:extLst>
        </xdr:cNvPr>
        <xdr:cNvSpPr txBox="1"/>
      </xdr:nvSpPr>
      <xdr:spPr>
        <a:xfrm>
          <a:off x="5274879" y="9012620"/>
          <a:ext cx="3609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M</a:t>
          </a:r>
          <a:r>
            <a:rPr lang="en-US" sz="1100" b="1" baseline="-25000">
              <a:solidFill>
                <a:srgbClr val="C00000"/>
              </a:solidFill>
            </a:rPr>
            <a:t>R</a:t>
          </a:r>
        </a:p>
      </xdr:txBody>
    </xdr:sp>
    <xdr:clientData/>
  </xdr:oneCellAnchor>
  <xdr:oneCellAnchor>
    <xdr:from>
      <xdr:col>4</xdr:col>
      <xdr:colOff>0</xdr:colOff>
      <xdr:row>41</xdr:row>
      <xdr:rowOff>157655</xdr:rowOff>
    </xdr:from>
    <xdr:ext cx="39017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21D2A6-75AC-4AD9-8CDB-11366C321ADB}"/>
            </a:ext>
          </a:extLst>
        </xdr:cNvPr>
        <xdr:cNvSpPr txBox="1"/>
      </xdr:nvSpPr>
      <xdr:spPr>
        <a:xfrm>
          <a:off x="3205655" y="9006052"/>
          <a:ext cx="3901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∑W</a:t>
          </a:r>
          <a:endParaRPr lang="en-US" sz="1100" b="1" baseline="-25000">
            <a:solidFill>
              <a:srgbClr val="C00000"/>
            </a:solidFill>
          </a:endParaRPr>
        </a:p>
      </xdr:txBody>
    </xdr:sp>
    <xdr:clientData/>
  </xdr:oneCellAnchor>
  <xdr:oneCellAnchor>
    <xdr:from>
      <xdr:col>5</xdr:col>
      <xdr:colOff>216777</xdr:colOff>
      <xdr:row>30</xdr:row>
      <xdr:rowOff>52552</xdr:rowOff>
    </xdr:from>
    <xdr:ext cx="670183" cy="280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E9373D1-52BB-4A00-82FF-61485DE1DF4B}"/>
            </a:ext>
          </a:extLst>
        </xdr:cNvPr>
        <xdr:cNvSpPr txBox="1"/>
      </xdr:nvSpPr>
      <xdr:spPr>
        <a:xfrm>
          <a:off x="4420915" y="6779173"/>
          <a:ext cx="67018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C00000"/>
              </a:solidFill>
            </a:rPr>
            <a:t>M</a:t>
          </a:r>
          <a:r>
            <a:rPr lang="en-US" sz="1200" b="1" baseline="-25000">
              <a:solidFill>
                <a:srgbClr val="C00000"/>
              </a:solidFill>
            </a:rPr>
            <a:t>R </a:t>
          </a:r>
          <a:r>
            <a:rPr lang="en-US" sz="1200" b="1" baseline="0">
              <a:solidFill>
                <a:srgbClr val="C00000"/>
              </a:solidFill>
            </a:rPr>
            <a:t>/M</a:t>
          </a:r>
          <a:r>
            <a:rPr lang="en-US" sz="1200" b="1" baseline="-25000">
              <a:solidFill>
                <a:srgbClr val="C00000"/>
              </a:solidFill>
            </a:rPr>
            <a:t>O</a:t>
          </a:r>
        </a:p>
      </xdr:txBody>
    </xdr:sp>
    <xdr:clientData/>
  </xdr:oneCellAnchor>
  <xdr:oneCellAnchor>
    <xdr:from>
      <xdr:col>1</xdr:col>
      <xdr:colOff>131379</xdr:colOff>
      <xdr:row>47</xdr:row>
      <xdr:rowOff>39414</xdr:rowOff>
    </xdr:from>
    <xdr:ext cx="746808" cy="28020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0AE821-6A69-4003-AB65-49B1BF5A5E25}"/>
            </a:ext>
          </a:extLst>
        </xdr:cNvPr>
        <xdr:cNvSpPr txBox="1"/>
      </xdr:nvSpPr>
      <xdr:spPr>
        <a:xfrm>
          <a:off x="742293" y="10063655"/>
          <a:ext cx="7468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C00000"/>
              </a:solidFill>
            </a:rPr>
            <a:t>0.5</a:t>
          </a:r>
          <a:r>
            <a:rPr lang="en-US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∑</a:t>
          </a:r>
          <a:r>
            <a:rPr lang="en-US" sz="12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en-US" sz="1200" b="1" baseline="0">
              <a:solidFill>
                <a:srgbClr val="C00000"/>
              </a:solidFill>
            </a:rPr>
            <a:t>/P</a:t>
          </a:r>
          <a:endParaRPr lang="en-US" sz="1200" b="1" baseline="-25000">
            <a:solidFill>
              <a:srgbClr val="C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157656</xdr:colOff>
      <xdr:row>4</xdr:row>
      <xdr:rowOff>72258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DEBC59F-5868-429A-8FA1-8204C28FEFE8}"/>
                </a:ext>
              </a:extLst>
            </xdr:cNvPr>
            <xdr:cNvSpPr txBox="1"/>
          </xdr:nvSpPr>
          <xdr:spPr>
            <a:xfrm>
              <a:off x="7129956" y="1139058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W1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DEBC59F-5868-429A-8FA1-8204C28FEFE8}"/>
                </a:ext>
              </a:extLst>
            </xdr:cNvPr>
            <xdr:cNvSpPr txBox="1"/>
          </xdr:nvSpPr>
          <xdr:spPr>
            <a:xfrm>
              <a:off x="7129956" y="1139058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W1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356040</xdr:colOff>
      <xdr:row>6</xdr:row>
      <xdr:rowOff>145830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991488-9B13-4837-A9BD-CD9A6E1672A5}"/>
                </a:ext>
              </a:extLst>
            </xdr:cNvPr>
            <xdr:cNvSpPr txBox="1"/>
          </xdr:nvSpPr>
          <xdr:spPr>
            <a:xfrm>
              <a:off x="7328340" y="2088930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W3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991488-9B13-4837-A9BD-CD9A6E1672A5}"/>
                </a:ext>
              </a:extLst>
            </xdr:cNvPr>
            <xdr:cNvSpPr txBox="1"/>
          </xdr:nvSpPr>
          <xdr:spPr>
            <a:xfrm>
              <a:off x="7328340" y="2088930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W3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324509</xdr:colOff>
      <xdr:row>5</xdr:row>
      <xdr:rowOff>107730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6F76DA3-3681-4648-9C69-E93B33970962}"/>
                </a:ext>
              </a:extLst>
            </xdr:cNvPr>
            <xdr:cNvSpPr txBox="1"/>
          </xdr:nvSpPr>
          <xdr:spPr>
            <a:xfrm>
              <a:off x="7658759" y="1612680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W2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6F76DA3-3681-4648-9C69-E93B33970962}"/>
                </a:ext>
              </a:extLst>
            </xdr:cNvPr>
            <xdr:cNvSpPr txBox="1"/>
          </xdr:nvSpPr>
          <xdr:spPr>
            <a:xfrm>
              <a:off x="7658759" y="1612680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W2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11</xdr:col>
      <xdr:colOff>74887</xdr:colOff>
      <xdr:row>3</xdr:row>
      <xdr:rowOff>101161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126ED95-A803-49B7-B433-1DE4921FB7EA}"/>
                </a:ext>
              </a:extLst>
            </xdr:cNvPr>
            <xdr:cNvSpPr txBox="1"/>
          </xdr:nvSpPr>
          <xdr:spPr>
            <a:xfrm>
              <a:off x="7771087" y="729811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W4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126ED95-A803-49B7-B433-1DE4921FB7EA}"/>
                </a:ext>
              </a:extLst>
            </xdr:cNvPr>
            <xdr:cNvSpPr txBox="1"/>
          </xdr:nvSpPr>
          <xdr:spPr>
            <a:xfrm>
              <a:off x="7771087" y="729811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W4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13</xdr:col>
      <xdr:colOff>128752</xdr:colOff>
      <xdr:row>4</xdr:row>
      <xdr:rowOff>49924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E488D19-BE61-40C9-B6EF-5D8A20BD6683}"/>
                </a:ext>
              </a:extLst>
            </xdr:cNvPr>
            <xdr:cNvSpPr txBox="1"/>
          </xdr:nvSpPr>
          <xdr:spPr>
            <a:xfrm>
              <a:off x="8129752" y="1116724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rtl="0" fontAlgn="auto"/>
              <a:r>
                <a:rPr lang="en-US" sz="1100" b="1">
                  <a:solidFill>
                    <a:srgbClr val="00B0F0"/>
                  </a:solidFill>
                </a:rPr>
                <a:t>W5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E488D19-BE61-40C9-B6EF-5D8A20BD6683}"/>
                </a:ext>
              </a:extLst>
            </xdr:cNvPr>
            <xdr:cNvSpPr txBox="1"/>
          </xdr:nvSpPr>
          <xdr:spPr>
            <a:xfrm>
              <a:off x="8129752" y="1116724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rtl="0" fontAlgn="auto"/>
              <a:r>
                <a:rPr lang="en-US" sz="1100" b="1">
                  <a:solidFill>
                    <a:srgbClr val="00B0F0"/>
                  </a:solidFill>
                </a:rPr>
                <a:t>W5</a:t>
              </a:r>
              <a:r>
                <a:rPr lang="en-US" sz="1100" i="0">
                  <a:solidFill>
                    <a:srgbClr val="00B0F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>
                <a:effectLst/>
              </a:endParaRPr>
            </a:p>
          </xdr:txBody>
        </xdr:sp>
      </mc:Fallback>
    </mc:AlternateContent>
    <xdr:clientData/>
  </xdr:oneCellAnchor>
  <xdr:oneCellAnchor>
    <xdr:from>
      <xdr:col>5</xdr:col>
      <xdr:colOff>1051034</xdr:colOff>
      <xdr:row>45</xdr:row>
      <xdr:rowOff>0</xdr:rowOff>
    </xdr:from>
    <xdr:ext cx="360933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B0AD83-2F0D-4704-9832-5FFC09B665B3}"/>
            </a:ext>
          </a:extLst>
        </xdr:cNvPr>
        <xdr:cNvSpPr txBox="1"/>
      </xdr:nvSpPr>
      <xdr:spPr>
        <a:xfrm>
          <a:off x="5255172" y="9814033"/>
          <a:ext cx="3609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M</a:t>
          </a:r>
          <a:r>
            <a:rPr lang="en-US" sz="1100" b="1" baseline="-25000">
              <a:solidFill>
                <a:srgbClr val="C00000"/>
              </a:solidFill>
            </a:rPr>
            <a:t>R</a:t>
          </a:r>
        </a:p>
      </xdr:txBody>
    </xdr:sp>
    <xdr:clientData/>
  </xdr:oneCellAnchor>
  <xdr:oneCellAnchor>
    <xdr:from>
      <xdr:col>3</xdr:col>
      <xdr:colOff>724299</xdr:colOff>
      <xdr:row>44</xdr:row>
      <xdr:rowOff>140804</xdr:rowOff>
    </xdr:from>
    <xdr:ext cx="39017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614450C-22A8-4BC3-BB4A-153D358B176F}"/>
            </a:ext>
          </a:extLst>
        </xdr:cNvPr>
        <xdr:cNvSpPr txBox="1"/>
      </xdr:nvSpPr>
      <xdr:spPr>
        <a:xfrm>
          <a:off x="3192516" y="9616108"/>
          <a:ext cx="3901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C00000"/>
              </a:solidFill>
            </a:rPr>
            <a:t>∑W</a:t>
          </a:r>
          <a:endParaRPr lang="en-US" sz="1100" b="1" baseline="-25000">
            <a:solidFill>
              <a:srgbClr val="C00000"/>
            </a:solidFill>
          </a:endParaRPr>
        </a:p>
      </xdr:txBody>
    </xdr:sp>
    <xdr:clientData/>
  </xdr:oneCellAnchor>
  <xdr:oneCellAnchor>
    <xdr:from>
      <xdr:col>5</xdr:col>
      <xdr:colOff>216777</xdr:colOff>
      <xdr:row>32</xdr:row>
      <xdr:rowOff>52552</xdr:rowOff>
    </xdr:from>
    <xdr:ext cx="670183" cy="28020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6E4B60A-598C-496D-8F9B-3C2DF3744AD2}"/>
            </a:ext>
          </a:extLst>
        </xdr:cNvPr>
        <xdr:cNvSpPr txBox="1"/>
      </xdr:nvSpPr>
      <xdr:spPr>
        <a:xfrm>
          <a:off x="4417302" y="6796252"/>
          <a:ext cx="67018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C00000"/>
              </a:solidFill>
            </a:rPr>
            <a:t>M</a:t>
          </a:r>
          <a:r>
            <a:rPr lang="en-US" sz="1200" b="1" baseline="-25000">
              <a:solidFill>
                <a:srgbClr val="C00000"/>
              </a:solidFill>
            </a:rPr>
            <a:t>R </a:t>
          </a:r>
          <a:r>
            <a:rPr lang="en-US" sz="1200" b="1" baseline="0">
              <a:solidFill>
                <a:srgbClr val="C00000"/>
              </a:solidFill>
            </a:rPr>
            <a:t>/M</a:t>
          </a:r>
          <a:r>
            <a:rPr lang="en-US" sz="1200" b="1" baseline="-25000">
              <a:solidFill>
                <a:srgbClr val="C00000"/>
              </a:solidFill>
            </a:rPr>
            <a:t>O</a:t>
          </a:r>
        </a:p>
      </xdr:txBody>
    </xdr:sp>
    <xdr:clientData/>
  </xdr:oneCellAnchor>
  <xdr:oneCellAnchor>
    <xdr:from>
      <xdr:col>1</xdr:col>
      <xdr:colOff>131379</xdr:colOff>
      <xdr:row>50</xdr:row>
      <xdr:rowOff>39414</xdr:rowOff>
    </xdr:from>
    <xdr:ext cx="746808" cy="28020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85D808A-A636-4B5D-8ACB-0681BB737F1C}"/>
            </a:ext>
          </a:extLst>
        </xdr:cNvPr>
        <xdr:cNvSpPr txBox="1"/>
      </xdr:nvSpPr>
      <xdr:spPr>
        <a:xfrm>
          <a:off x="740979" y="10107339"/>
          <a:ext cx="7468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C00000"/>
              </a:solidFill>
            </a:rPr>
            <a:t>0.5</a:t>
          </a:r>
          <a:r>
            <a:rPr lang="en-US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∑</a:t>
          </a:r>
          <a:r>
            <a:rPr lang="en-US" sz="12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en-US" sz="1200" b="1" baseline="0">
              <a:solidFill>
                <a:srgbClr val="C00000"/>
              </a:solidFill>
            </a:rPr>
            <a:t>/P</a:t>
          </a:r>
          <a:endParaRPr lang="en-US" sz="1200" b="1" baseline="-25000">
            <a:solidFill>
              <a:srgbClr val="C00000"/>
            </a:solidFill>
          </a:endParaRPr>
        </a:p>
      </xdr:txBody>
    </xdr:sp>
    <xdr:clientData/>
  </xdr:oneCellAnchor>
  <xdr:oneCellAnchor>
    <xdr:from>
      <xdr:col>9</xdr:col>
      <xdr:colOff>135323</xdr:colOff>
      <xdr:row>7</xdr:row>
      <xdr:rowOff>190499</xdr:rowOff>
    </xdr:from>
    <xdr:ext cx="450060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50E9DC7-CFA1-4FBB-A981-099F244B5A0F}"/>
                </a:ext>
              </a:extLst>
            </xdr:cNvPr>
            <xdr:cNvSpPr txBox="1"/>
          </xdr:nvSpPr>
          <xdr:spPr>
            <a:xfrm>
              <a:off x="7111564" y="233198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W6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rgbClr val="00B0F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↓</m:t>
                  </m:r>
                </m:oMath>
              </a14:m>
              <a:endParaRPr lang="en-US" sz="1100" b="1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50E9DC7-CFA1-4FBB-A981-099F244B5A0F}"/>
                </a:ext>
              </a:extLst>
            </xdr:cNvPr>
            <xdr:cNvSpPr txBox="1"/>
          </xdr:nvSpPr>
          <xdr:spPr>
            <a:xfrm>
              <a:off x="7111564" y="2331982"/>
              <a:ext cx="4500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00B0F0"/>
                  </a:solidFill>
                </a:rPr>
                <a:t>W6</a:t>
              </a:r>
              <a:r>
                <a:rPr lang="en-US" sz="1100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↓</a:t>
              </a:r>
              <a:endParaRPr lang="en-US" sz="1100" b="1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2024-2B7B-4E27-9CC3-6AAB9DB43B4E}">
  <dimension ref="B1:R68"/>
  <sheetViews>
    <sheetView tabSelected="1" zoomScale="130" zoomScaleNormal="130" workbookViewId="0">
      <selection activeCell="E67" sqref="E67:G68"/>
    </sheetView>
  </sheetViews>
  <sheetFormatPr defaultRowHeight="15" x14ac:dyDescent="0.25"/>
  <cols>
    <col min="2" max="2" width="15.7109375" bestFit="1" customWidth="1"/>
    <col min="3" max="3" width="12" bestFit="1" customWidth="1"/>
    <col min="4" max="4" width="11.140625" bestFit="1" customWidth="1"/>
    <col min="5" max="5" width="15" bestFit="1" customWidth="1"/>
    <col min="6" max="6" width="16.28515625" bestFit="1" customWidth="1"/>
    <col min="7" max="7" width="13.85546875" bestFit="1" customWidth="1"/>
    <col min="8" max="9" width="5.7109375" customWidth="1"/>
    <col min="10" max="11" width="5.42578125" customWidth="1"/>
    <col min="12" max="14" width="2.28515625" customWidth="1"/>
    <col min="15" max="15" width="6.140625" customWidth="1"/>
    <col min="16" max="16" width="8.42578125" bestFit="1" customWidth="1"/>
    <col min="18" max="18" width="9.140625" hidden="1" customWidth="1"/>
  </cols>
  <sheetData>
    <row r="1" spans="2:18" ht="16.5" customHeight="1" x14ac:dyDescent="0.25"/>
    <row r="2" spans="2:18" ht="16.5" customHeight="1" thickBot="1" x14ac:dyDescent="0.3">
      <c r="J2" s="50"/>
      <c r="K2" s="50"/>
    </row>
    <row r="3" spans="2:18" ht="16.5" customHeight="1" thickBot="1" x14ac:dyDescent="0.3">
      <c r="J3" s="53" t="str">
        <f>E17 &amp;"ft"</f>
        <v>1.5ft</v>
      </c>
      <c r="K3" s="53"/>
      <c r="L3" s="47"/>
      <c r="M3" s="47"/>
      <c r="N3" s="47"/>
      <c r="O3" s="47"/>
    </row>
    <row r="4" spans="2:18" ht="34.5" customHeight="1" thickTop="1" x14ac:dyDescent="0.25">
      <c r="H4" s="55" t="str">
        <f>C13 &amp; "ft"</f>
        <v>16ft</v>
      </c>
      <c r="J4" s="60"/>
      <c r="K4" s="61"/>
      <c r="L4" s="51"/>
      <c r="M4" s="51"/>
      <c r="N4" s="51"/>
      <c r="P4" s="55" t="str">
        <f>C13-E21 &amp; "ft"</f>
        <v>14ft</v>
      </c>
    </row>
    <row r="5" spans="2:18" ht="34.5" customHeight="1" thickBot="1" x14ac:dyDescent="0.3">
      <c r="H5" s="55"/>
      <c r="J5" s="62"/>
      <c r="K5" s="63"/>
      <c r="L5" s="51"/>
      <c r="M5" s="51"/>
      <c r="N5" s="51"/>
      <c r="P5" s="55"/>
    </row>
    <row r="6" spans="2:18" ht="34.5" customHeight="1" thickBot="1" x14ac:dyDescent="0.3">
      <c r="B6" s="92" t="s">
        <v>59</v>
      </c>
      <c r="C6" s="94">
        <v>13</v>
      </c>
      <c r="H6" s="55"/>
      <c r="I6" s="28" t="str">
        <f>E25 &amp;"ft"</f>
        <v>2ft</v>
      </c>
      <c r="J6" s="64"/>
      <c r="K6" s="65"/>
      <c r="L6" s="52"/>
      <c r="M6" s="52"/>
      <c r="N6" s="52"/>
      <c r="O6" s="28" t="str">
        <f>E23 &amp;"ft"</f>
        <v>2ft</v>
      </c>
      <c r="P6" s="55"/>
    </row>
    <row r="7" spans="2:18" ht="15" customHeight="1" thickTop="1" x14ac:dyDescent="0.25">
      <c r="B7" s="93" t="s">
        <v>60</v>
      </c>
      <c r="C7" s="95">
        <v>3</v>
      </c>
      <c r="H7" s="55"/>
      <c r="I7" s="1"/>
      <c r="J7" s="67" t="str">
        <f>R10 &amp; "ft"</f>
        <v>1.5ft</v>
      </c>
      <c r="K7" s="67"/>
      <c r="L7" s="67" t="str">
        <f>R9 &amp; "ft"</f>
        <v>6.5ft</v>
      </c>
      <c r="M7" s="67"/>
      <c r="N7" s="67"/>
      <c r="O7" s="20"/>
      <c r="P7" s="54" t="str">
        <f>E21 &amp; "ft"</f>
        <v>2ft</v>
      </c>
      <c r="R7">
        <f>C13-E21</f>
        <v>14</v>
      </c>
    </row>
    <row r="8" spans="2:18" ht="15.75" thickBot="1" x14ac:dyDescent="0.3">
      <c r="B8" s="24" t="s">
        <v>58</v>
      </c>
      <c r="C8" s="106">
        <v>0.5</v>
      </c>
      <c r="H8" s="55"/>
      <c r="I8" s="64"/>
      <c r="J8" s="65"/>
      <c r="K8" s="65"/>
      <c r="L8" s="65"/>
      <c r="M8" s="65"/>
      <c r="N8" s="65"/>
      <c r="O8" s="66"/>
      <c r="P8" s="54"/>
      <c r="R8">
        <f>E19-E23-E25</f>
        <v>8</v>
      </c>
    </row>
    <row r="9" spans="2:18" ht="18.75" thickTop="1" x14ac:dyDescent="0.35">
      <c r="B9" s="24" t="s">
        <v>40</v>
      </c>
      <c r="C9" s="40">
        <v>130</v>
      </c>
      <c r="I9" s="68" t="str">
        <f>E19 &amp; "ft"</f>
        <v>12ft</v>
      </c>
      <c r="J9" s="68"/>
      <c r="K9" s="68"/>
      <c r="L9" s="68"/>
      <c r="M9" s="68"/>
      <c r="N9" s="68"/>
      <c r="O9" s="68"/>
      <c r="R9">
        <f>E19-E23-E25-E17</f>
        <v>6.5</v>
      </c>
    </row>
    <row r="10" spans="2:18" ht="18" x14ac:dyDescent="0.35">
      <c r="B10" s="24" t="s">
        <v>41</v>
      </c>
      <c r="C10" s="40">
        <v>145</v>
      </c>
      <c r="I10" s="18"/>
      <c r="J10" s="18"/>
      <c r="K10" s="18"/>
      <c r="L10" s="18"/>
      <c r="M10" s="18"/>
      <c r="N10" s="18"/>
      <c r="O10" s="18"/>
      <c r="R10">
        <f>R8-R9</f>
        <v>1.5</v>
      </c>
    </row>
    <row r="11" spans="2:18" x14ac:dyDescent="0.25">
      <c r="B11" s="27" t="s">
        <v>18</v>
      </c>
      <c r="C11" s="40">
        <v>32</v>
      </c>
      <c r="D11" s="43">
        <f>(PI()/180)*C11</f>
        <v>0.55850536063818546</v>
      </c>
    </row>
    <row r="12" spans="2:18" ht="18" x14ac:dyDescent="0.35">
      <c r="B12" s="24" t="s">
        <v>42</v>
      </c>
      <c r="C12" s="40">
        <v>4000</v>
      </c>
    </row>
    <row r="13" spans="2:18" x14ac:dyDescent="0.25">
      <c r="B13" s="24" t="s">
        <v>19</v>
      </c>
      <c r="C13" s="40">
        <f>C6+C7</f>
        <v>16</v>
      </c>
    </row>
    <row r="14" spans="2:18" ht="15.75" thickBot="1" x14ac:dyDescent="0.3">
      <c r="B14" s="26" t="s">
        <v>35</v>
      </c>
      <c r="C14" s="41">
        <v>400</v>
      </c>
    </row>
    <row r="15" spans="2:18" ht="15.75" thickBot="1" x14ac:dyDescent="0.3"/>
    <row r="16" spans="2:18" ht="15.75" thickBot="1" x14ac:dyDescent="0.3">
      <c r="B16" s="9" t="s">
        <v>16</v>
      </c>
      <c r="C16" s="10" t="s">
        <v>17</v>
      </c>
      <c r="D16" s="10" t="s">
        <v>20</v>
      </c>
      <c r="E16" s="11" t="s">
        <v>21</v>
      </c>
    </row>
    <row r="17" spans="2:10" x14ac:dyDescent="0.25">
      <c r="B17" s="56" t="s">
        <v>1</v>
      </c>
      <c r="C17" s="13" t="s">
        <v>6</v>
      </c>
      <c r="D17" s="96">
        <f>3.28*0.3</f>
        <v>0.98399999999999987</v>
      </c>
      <c r="E17" s="48">
        <v>1.5</v>
      </c>
      <c r="F17" s="3"/>
      <c r="G17" s="3"/>
    </row>
    <row r="18" spans="2:10" ht="15.75" thickBot="1" x14ac:dyDescent="0.3">
      <c r="B18" s="57"/>
      <c r="C18" s="14" t="s">
        <v>9</v>
      </c>
      <c r="D18" s="19">
        <f>C13/12</f>
        <v>1.3333333333333333</v>
      </c>
      <c r="E18" s="49"/>
      <c r="F18" s="3"/>
      <c r="G18" s="3"/>
    </row>
    <row r="19" spans="2:10" x14ac:dyDescent="0.25">
      <c r="B19" s="56" t="s">
        <v>2</v>
      </c>
      <c r="C19" s="13" t="s">
        <v>11</v>
      </c>
      <c r="D19" s="96">
        <f>0.5*C13</f>
        <v>8</v>
      </c>
      <c r="E19" s="48">
        <v>12</v>
      </c>
      <c r="F19" s="3"/>
      <c r="G19" s="3"/>
    </row>
    <row r="20" spans="2:10" ht="15.75" thickBot="1" x14ac:dyDescent="0.3">
      <c r="B20" s="57"/>
      <c r="C20" s="14" t="s">
        <v>10</v>
      </c>
      <c r="D20" s="19">
        <f>0.7*C13</f>
        <v>11.2</v>
      </c>
      <c r="E20" s="49"/>
      <c r="F20" s="3"/>
      <c r="G20" s="3"/>
    </row>
    <row r="21" spans="2:10" x14ac:dyDescent="0.25">
      <c r="B21" s="56" t="s">
        <v>3</v>
      </c>
      <c r="C21" s="13" t="s">
        <v>12</v>
      </c>
      <c r="D21" s="96">
        <f>C13/8</f>
        <v>2</v>
      </c>
      <c r="E21" s="48">
        <v>2</v>
      </c>
      <c r="F21" s="3"/>
      <c r="G21" s="3"/>
    </row>
    <row r="22" spans="2:10" ht="15.75" thickBot="1" x14ac:dyDescent="0.3">
      <c r="B22" s="57"/>
      <c r="C22" s="14" t="s">
        <v>13</v>
      </c>
      <c r="D22" s="19">
        <f>C13/6</f>
        <v>2.6666666666666665</v>
      </c>
      <c r="E22" s="49"/>
      <c r="F22" s="3"/>
      <c r="G22" s="3"/>
    </row>
    <row r="23" spans="2:10" x14ac:dyDescent="0.25">
      <c r="B23" s="56" t="s">
        <v>4</v>
      </c>
      <c r="C23" s="13" t="s">
        <v>14</v>
      </c>
      <c r="D23" s="96">
        <f>0.3*E19</f>
        <v>3.5999999999999996</v>
      </c>
      <c r="E23" s="48">
        <v>2</v>
      </c>
      <c r="F23" s="3"/>
      <c r="G23" s="3"/>
    </row>
    <row r="24" spans="2:10" ht="15.75" thickBot="1" x14ac:dyDescent="0.3">
      <c r="B24" s="57"/>
      <c r="C24" s="14" t="s">
        <v>15</v>
      </c>
      <c r="D24" s="19">
        <f>0.4*E19</f>
        <v>4.8000000000000007</v>
      </c>
      <c r="E24" s="49"/>
      <c r="F24" s="3"/>
      <c r="G24" s="3"/>
    </row>
    <row r="25" spans="2:10" x14ac:dyDescent="0.25">
      <c r="B25" s="56" t="s">
        <v>5</v>
      </c>
      <c r="C25" s="15" t="s">
        <v>7</v>
      </c>
      <c r="D25" s="97">
        <f>E21/2</f>
        <v>1</v>
      </c>
      <c r="E25" s="48">
        <v>2</v>
      </c>
      <c r="F25" s="3"/>
      <c r="G25" s="3"/>
    </row>
    <row r="26" spans="2:10" ht="15.75" thickBot="1" x14ac:dyDescent="0.3">
      <c r="B26" s="57"/>
      <c r="C26" s="14" t="s">
        <v>8</v>
      </c>
      <c r="D26" s="19">
        <f>E21</f>
        <v>2</v>
      </c>
      <c r="E26" s="49"/>
      <c r="F26" s="3"/>
      <c r="G26" s="3"/>
    </row>
    <row r="28" spans="2:10" ht="15.75" thickBot="1" x14ac:dyDescent="0.3"/>
    <row r="29" spans="2:10" x14ac:dyDescent="0.25">
      <c r="B29" s="58" t="s">
        <v>22</v>
      </c>
      <c r="C29" s="59"/>
    </row>
    <row r="30" spans="2:10" ht="15.75" thickBot="1" x14ac:dyDescent="0.3">
      <c r="B30" s="24" t="s">
        <v>23</v>
      </c>
      <c r="C30" s="25">
        <f>(1-SIN(D11))/(1+SIN(D11))</f>
        <v>0.30725852452246849</v>
      </c>
    </row>
    <row r="31" spans="2:10" x14ac:dyDescent="0.25">
      <c r="B31" s="24" t="s">
        <v>0</v>
      </c>
      <c r="C31" s="25">
        <f>C13</f>
        <v>16</v>
      </c>
      <c r="F31" s="81"/>
      <c r="G31" s="83">
        <f>G43/C35</f>
        <v>3.5584753310359853</v>
      </c>
      <c r="H31" s="69" t="str">
        <f>IF(G31&gt;=2,"OK!","REDESIGN")</f>
        <v>OK!</v>
      </c>
      <c r="I31" s="70"/>
      <c r="J31" s="70"/>
    </row>
    <row r="32" spans="2:10" ht="15.75" thickBot="1" x14ac:dyDescent="0.3">
      <c r="B32" s="24" t="s">
        <v>24</v>
      </c>
      <c r="C32" s="25">
        <f>C14/C9</f>
        <v>3.0769230769230771</v>
      </c>
      <c r="F32" s="82"/>
      <c r="G32" s="84"/>
      <c r="H32" s="69"/>
      <c r="I32" s="70"/>
      <c r="J32" s="70"/>
    </row>
    <row r="33" spans="2:7" x14ac:dyDescent="0.25">
      <c r="B33" s="24" t="s">
        <v>36</v>
      </c>
      <c r="C33" s="25">
        <f>((C31^2)+3*(C31)*(C32))/(3*(C31+2*(C32)))</f>
        <v>6.0740740740740753</v>
      </c>
    </row>
    <row r="34" spans="2:7" x14ac:dyDescent="0.25">
      <c r="B34" s="24" t="s">
        <v>37</v>
      </c>
      <c r="C34" s="25">
        <f>1/2*C30*C9*C31*(C31+2*(C32))</f>
        <v>7079.2364049976732</v>
      </c>
    </row>
    <row r="35" spans="2:7" ht="15.75" thickBot="1" x14ac:dyDescent="0.3">
      <c r="B35" s="26" t="s">
        <v>38</v>
      </c>
      <c r="C35" s="99">
        <f>C34*C33</f>
        <v>42999.806311837725</v>
      </c>
    </row>
    <row r="36" spans="2:7" ht="15.75" thickBot="1" x14ac:dyDescent="0.3"/>
    <row r="37" spans="2:7" ht="17.25" x14ac:dyDescent="0.25">
      <c r="B37" s="6" t="s">
        <v>32</v>
      </c>
      <c r="C37" s="7" t="s">
        <v>26</v>
      </c>
      <c r="D37" s="7" t="s">
        <v>28</v>
      </c>
      <c r="E37" s="7" t="s">
        <v>27</v>
      </c>
      <c r="F37" s="7" t="s">
        <v>25</v>
      </c>
      <c r="G37" s="8" t="s">
        <v>39</v>
      </c>
    </row>
    <row r="38" spans="2:7" x14ac:dyDescent="0.25">
      <c r="B38" s="16" t="s">
        <v>29</v>
      </c>
      <c r="C38" s="2">
        <f>E17*R7*1</f>
        <v>21</v>
      </c>
      <c r="D38" s="2">
        <f>C10</f>
        <v>145</v>
      </c>
      <c r="E38" s="2">
        <f>C38*D38</f>
        <v>3045</v>
      </c>
      <c r="F38" s="17">
        <f>E25+E17/2</f>
        <v>2.75</v>
      </c>
      <c r="G38" s="37">
        <f>E38*F38</f>
        <v>8373.75</v>
      </c>
    </row>
    <row r="39" spans="2:7" x14ac:dyDescent="0.25">
      <c r="B39" s="16" t="s">
        <v>30</v>
      </c>
      <c r="C39" s="2">
        <f>1/2*(R9*R7)*1</f>
        <v>45.5</v>
      </c>
      <c r="D39" s="2">
        <f>C10</f>
        <v>145</v>
      </c>
      <c r="E39" s="2">
        <f t="shared" ref="E39:E42" si="0">C39*D39</f>
        <v>6597.5</v>
      </c>
      <c r="F39" s="17">
        <f>E25+R10+R9/3</f>
        <v>5.6666666666666661</v>
      </c>
      <c r="G39" s="37">
        <f>E39*F39</f>
        <v>37385.833333333328</v>
      </c>
    </row>
    <row r="40" spans="2:7" x14ac:dyDescent="0.25">
      <c r="B40" s="16" t="s">
        <v>31</v>
      </c>
      <c r="C40" s="2">
        <f>E19*E21*1</f>
        <v>24</v>
      </c>
      <c r="D40" s="2">
        <f>C10</f>
        <v>145</v>
      </c>
      <c r="E40" s="2">
        <f t="shared" si="0"/>
        <v>3480</v>
      </c>
      <c r="F40" s="17">
        <f>E19/2</f>
        <v>6</v>
      </c>
      <c r="G40" s="37">
        <f>E40*F40</f>
        <v>20880</v>
      </c>
    </row>
    <row r="41" spans="2:7" x14ac:dyDescent="0.25">
      <c r="B41" s="16" t="s">
        <v>33</v>
      </c>
      <c r="C41" s="2">
        <f>1/2*R7*R9*1</f>
        <v>45.5</v>
      </c>
      <c r="D41" s="2">
        <f>C9</f>
        <v>130</v>
      </c>
      <c r="E41" s="2">
        <f t="shared" si="0"/>
        <v>5915</v>
      </c>
      <c r="F41" s="17">
        <f>E25+R10+R9*2/3</f>
        <v>7.833333333333333</v>
      </c>
      <c r="G41" s="37">
        <f>E41*F41</f>
        <v>46334.166666666664</v>
      </c>
    </row>
    <row r="42" spans="2:7" ht="15.75" thickBot="1" x14ac:dyDescent="0.3">
      <c r="B42" s="12" t="s">
        <v>34</v>
      </c>
      <c r="C42" s="4">
        <f>E23*R7*1</f>
        <v>28</v>
      </c>
      <c r="D42" s="4">
        <f>C9</f>
        <v>130</v>
      </c>
      <c r="E42" s="21">
        <f t="shared" si="0"/>
        <v>3640</v>
      </c>
      <c r="F42" s="19">
        <f>E25+R8+(E23/2)</f>
        <v>11</v>
      </c>
      <c r="G42" s="38">
        <f>E42*F42</f>
        <v>40040</v>
      </c>
    </row>
    <row r="43" spans="2:7" ht="15.75" thickBot="1" x14ac:dyDescent="0.3">
      <c r="E43" s="22">
        <f>SUM(E38:E42)</f>
        <v>22677.5</v>
      </c>
      <c r="G43" s="39">
        <f>SUM(G38:G42)</f>
        <v>153013.75</v>
      </c>
    </row>
    <row r="46" spans="2:7" ht="15.75" thickBot="1" x14ac:dyDescent="0.3"/>
    <row r="47" spans="2:7" x14ac:dyDescent="0.25">
      <c r="B47" s="71" t="s">
        <v>43</v>
      </c>
      <c r="C47" s="72"/>
    </row>
    <row r="48" spans="2:7" x14ac:dyDescent="0.25">
      <c r="B48" s="75"/>
      <c r="C48" s="73">
        <f>(0.5*E43)/C34</f>
        <v>1.6016911078142935</v>
      </c>
      <c r="D48" s="69" t="str">
        <f>IF(C48&gt;1.5,"OK!","REDESIGN")</f>
        <v>OK!</v>
      </c>
    </row>
    <row r="49" spans="2:7" ht="15.75" thickBot="1" x14ac:dyDescent="0.3">
      <c r="B49" s="76"/>
      <c r="C49" s="74"/>
      <c r="D49" s="69"/>
    </row>
    <row r="53" spans="2:7" ht="15.75" thickBot="1" x14ac:dyDescent="0.3"/>
    <row r="54" spans="2:7" ht="15.75" thickBot="1" x14ac:dyDescent="0.3">
      <c r="E54" s="6" t="s">
        <v>48</v>
      </c>
      <c r="F54" s="7" t="s">
        <v>46</v>
      </c>
      <c r="G54" s="8" t="s">
        <v>49</v>
      </c>
    </row>
    <row r="55" spans="2:7" x14ac:dyDescent="0.25">
      <c r="B55" s="71" t="s">
        <v>44</v>
      </c>
      <c r="C55" s="72"/>
      <c r="E55" s="16" t="s">
        <v>47</v>
      </c>
      <c r="F55" s="33">
        <f>(4*(E19)-6*(C56))*((E43)/E19^2)</f>
        <v>2975.2523463265711</v>
      </c>
      <c r="G55" s="29">
        <f>((6*C56)-(2*E19))*(E43/E19^2)</f>
        <v>804.33098700676203</v>
      </c>
    </row>
    <row r="56" spans="2:7" x14ac:dyDescent="0.25">
      <c r="B56" s="35" t="s">
        <v>45</v>
      </c>
      <c r="C56" s="29">
        <f>(G43-C35)/E43</f>
        <v>4.8512377329142229</v>
      </c>
      <c r="D56" s="32"/>
      <c r="E56" s="16" t="s">
        <v>51</v>
      </c>
      <c r="F56" s="33">
        <f>(2*E43)/E19</f>
        <v>3779.5833333333335</v>
      </c>
      <c r="G56" s="29">
        <v>0</v>
      </c>
    </row>
    <row r="57" spans="2:7" ht="15.75" thickBot="1" x14ac:dyDescent="0.3">
      <c r="B57" s="35" t="s">
        <v>52</v>
      </c>
      <c r="C57" s="29">
        <f>E19/3</f>
        <v>4</v>
      </c>
      <c r="D57" s="32"/>
      <c r="E57" s="12" t="s">
        <v>50</v>
      </c>
      <c r="F57" s="34">
        <f>(2*E43)/(3*C56)</f>
        <v>3116.3868203695488</v>
      </c>
      <c r="G57" s="23">
        <v>0</v>
      </c>
    </row>
    <row r="58" spans="2:7" x14ac:dyDescent="0.25">
      <c r="B58" s="35" t="s">
        <v>53</v>
      </c>
      <c r="C58" s="30" t="str">
        <f>IF(C56 &gt; C57,"a &gt; l/3",IF(C56 = C57,"a = l/3","a &lt; l/3"))</f>
        <v>a &gt; l/3</v>
      </c>
    </row>
    <row r="59" spans="2:7" x14ac:dyDescent="0.25">
      <c r="B59" s="35" t="s">
        <v>46</v>
      </c>
      <c r="C59" s="29">
        <f>IF(C58=E55,F55,IF(C58=E56,F56,F57))</f>
        <v>2975.2523463265711</v>
      </c>
    </row>
    <row r="60" spans="2:7" x14ac:dyDescent="0.25">
      <c r="B60" s="35" t="s">
        <v>49</v>
      </c>
      <c r="C60" s="42">
        <f>IF(C58=E55,G55,IF(C58=E56,G56,G57))</f>
        <v>804.33098700676203</v>
      </c>
    </row>
    <row r="61" spans="2:7" ht="15.75" thickBot="1" x14ac:dyDescent="0.3">
      <c r="B61" s="36" t="s">
        <v>54</v>
      </c>
      <c r="C61" s="23">
        <f>IF(C59&gt;C60, C59, C60)</f>
        <v>2975.2523463265711</v>
      </c>
    </row>
    <row r="62" spans="2:7" ht="15.75" thickBot="1" x14ac:dyDescent="0.3"/>
    <row r="63" spans="2:7" ht="18" customHeight="1" x14ac:dyDescent="0.25">
      <c r="B63" s="77" t="str">
        <f>IF(C12&gt;C61, "qa &gt; q", "qa &lt; q")</f>
        <v>qa &gt; q</v>
      </c>
      <c r="C63" s="78"/>
      <c r="D63" s="69" t="str">
        <f>IF(C12&gt;C61,"OK!","REDESIGN")</f>
        <v>OK!</v>
      </c>
    </row>
    <row r="64" spans="2:7" ht="15.75" thickBot="1" x14ac:dyDescent="0.3">
      <c r="B64" s="79"/>
      <c r="C64" s="80"/>
      <c r="D64" s="69"/>
    </row>
    <row r="66" spans="5:7" ht="15.75" thickBot="1" x14ac:dyDescent="0.3"/>
    <row r="67" spans="5:7" x14ac:dyDescent="0.25">
      <c r="E67" s="6" t="s">
        <v>55</v>
      </c>
      <c r="F67" s="7" t="s">
        <v>43</v>
      </c>
      <c r="G67" s="8" t="s">
        <v>44</v>
      </c>
    </row>
    <row r="68" spans="5:7" ht="15.75" thickBot="1" x14ac:dyDescent="0.3">
      <c r="E68" s="12" t="str">
        <f>H31</f>
        <v>OK!</v>
      </c>
      <c r="F68" s="5" t="str">
        <f>D48</f>
        <v>OK!</v>
      </c>
      <c r="G68" s="31" t="str">
        <f>D63</f>
        <v>OK!</v>
      </c>
    </row>
  </sheetData>
  <sheetProtection sheet="1" objects="1" scenarios="1"/>
  <mergeCells count="32">
    <mergeCell ref="D63:D64"/>
    <mergeCell ref="B63:C64"/>
    <mergeCell ref="B55:C55"/>
    <mergeCell ref="F31:F32"/>
    <mergeCell ref="G31:G32"/>
    <mergeCell ref="H31:J32"/>
    <mergeCell ref="B47:C47"/>
    <mergeCell ref="C48:C49"/>
    <mergeCell ref="B48:B49"/>
    <mergeCell ref="D48:D49"/>
    <mergeCell ref="B25:B26"/>
    <mergeCell ref="B29:C29"/>
    <mergeCell ref="J4:K6"/>
    <mergeCell ref="I8:O8"/>
    <mergeCell ref="H4:H8"/>
    <mergeCell ref="J7:K7"/>
    <mergeCell ref="L7:N7"/>
    <mergeCell ref="I9:O9"/>
    <mergeCell ref="B17:B18"/>
    <mergeCell ref="B19:B20"/>
    <mergeCell ref="B21:B22"/>
    <mergeCell ref="B23:B24"/>
    <mergeCell ref="E17:E18"/>
    <mergeCell ref="E19:E20"/>
    <mergeCell ref="E21:E22"/>
    <mergeCell ref="E23:E24"/>
    <mergeCell ref="E25:E26"/>
    <mergeCell ref="J2:K2"/>
    <mergeCell ref="L4:N6"/>
    <mergeCell ref="J3:K3"/>
    <mergeCell ref="P7:P8"/>
    <mergeCell ref="P4:P6"/>
  </mergeCells>
  <conditionalFormatting sqref="D48:D49">
    <cfRule type="cellIs" dxfId="21" priority="12" operator="equal">
      <formula>"OK!"</formula>
    </cfRule>
    <cfRule type="cellIs" dxfId="20" priority="13" operator="equal">
      <formula>"REDESIGN"</formula>
    </cfRule>
  </conditionalFormatting>
  <conditionalFormatting sqref="D56:D57">
    <cfRule type="cellIs" dxfId="19" priority="9" operator="equal">
      <formula>"OK!"</formula>
    </cfRule>
    <cfRule type="cellIs" dxfId="18" priority="10" operator="equal">
      <formula>"REDESIGN"</formula>
    </cfRule>
  </conditionalFormatting>
  <conditionalFormatting sqref="D63:D64">
    <cfRule type="cellIs" dxfId="17" priority="7" operator="equal">
      <formula>"REDESIGN"</formula>
    </cfRule>
    <cfRule type="cellIs" dxfId="16" priority="8" operator="equal">
      <formula>"OK!"</formula>
    </cfRule>
  </conditionalFormatting>
  <conditionalFormatting sqref="E68:G68">
    <cfRule type="cellIs" dxfId="15" priority="1" operator="equal">
      <formula>"OK!"</formula>
    </cfRule>
    <cfRule type="cellIs" dxfId="14" priority="2" operator="equal">
      <formula>"REDESIGN"</formula>
    </cfRule>
  </conditionalFormatting>
  <conditionalFormatting sqref="H31:J32">
    <cfRule type="cellIs" dxfId="13" priority="15" operator="equal">
      <formula>"OK!"</formula>
    </cfRule>
    <cfRule type="cellIs" dxfId="12" priority="16" operator="equal">
      <formula>"OK"</formula>
    </cfRule>
    <cfRule type="cellIs" dxfId="11" priority="17" operator="equal">
      <formula>"REDESIGN"</formula>
    </cfRule>
  </conditionalFormatting>
  <pageMargins left="0.7" right="0.7" top="0.75" bottom="0.75" header="0.3" footer="0.3"/>
  <pageSetup orientation="portrait" r:id="rId1"/>
  <ignoredErrors>
    <ignoredError sqref="F38:F42" formula="1"/>
    <ignoredError sqref="C13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FD45-80D7-4EED-9AA9-26C57774E8CB}">
  <dimension ref="B1:R71"/>
  <sheetViews>
    <sheetView zoomScale="115" zoomScaleNormal="115" workbookViewId="0">
      <selection activeCell="G13" sqref="G13"/>
    </sheetView>
  </sheetViews>
  <sheetFormatPr defaultRowHeight="15" x14ac:dyDescent="0.25"/>
  <cols>
    <col min="2" max="2" width="15.7109375" bestFit="1" customWidth="1"/>
    <col min="3" max="3" width="12" bestFit="1" customWidth="1"/>
    <col min="4" max="4" width="11.140625" bestFit="1" customWidth="1"/>
    <col min="5" max="5" width="15" bestFit="1" customWidth="1"/>
    <col min="6" max="6" width="16.28515625" bestFit="1" customWidth="1"/>
    <col min="7" max="7" width="13.85546875" bestFit="1" customWidth="1"/>
    <col min="8" max="9" width="5.7109375" customWidth="1"/>
    <col min="10" max="11" width="5.42578125" customWidth="1"/>
    <col min="12" max="14" width="2.28515625" customWidth="1"/>
    <col min="15" max="15" width="6.140625" customWidth="1"/>
    <col min="16" max="16" width="8.42578125" bestFit="1" customWidth="1"/>
    <col min="18" max="18" width="0" hidden="1" customWidth="1"/>
  </cols>
  <sheetData>
    <row r="1" spans="2:18" ht="16.5" customHeight="1" x14ac:dyDescent="0.25"/>
    <row r="2" spans="2:18" ht="16.5" customHeight="1" x14ac:dyDescent="0.25">
      <c r="J2" s="50"/>
      <c r="K2" s="50"/>
    </row>
    <row r="3" spans="2:18" ht="16.5" customHeight="1" thickBot="1" x14ac:dyDescent="0.3">
      <c r="J3" s="53" t="str">
        <f>E17 &amp;"ft"</f>
        <v>1.5ft</v>
      </c>
      <c r="K3" s="53"/>
    </row>
    <row r="4" spans="2:18" ht="34.5" customHeight="1" thickTop="1" x14ac:dyDescent="0.25">
      <c r="H4" s="55" t="str">
        <f>C13 &amp; "ft"</f>
        <v>16ft</v>
      </c>
      <c r="J4" s="60"/>
      <c r="K4" s="61"/>
      <c r="L4" s="51"/>
      <c r="M4" s="51"/>
      <c r="N4" s="51"/>
      <c r="P4" s="55" t="str">
        <f>C13-E21 &amp; "ft"</f>
        <v>14ft</v>
      </c>
    </row>
    <row r="5" spans="2:18" ht="34.5" customHeight="1" thickBot="1" x14ac:dyDescent="0.3">
      <c r="H5" s="55"/>
      <c r="J5" s="62"/>
      <c r="K5" s="63"/>
      <c r="L5" s="51"/>
      <c r="M5" s="51"/>
      <c r="N5" s="51"/>
      <c r="P5" s="55"/>
    </row>
    <row r="6" spans="2:18" ht="34.5" customHeight="1" thickBot="1" x14ac:dyDescent="0.3">
      <c r="B6" s="92" t="s">
        <v>59</v>
      </c>
      <c r="C6" s="94">
        <v>13</v>
      </c>
      <c r="H6" s="55"/>
      <c r="I6" s="28" t="str">
        <f>E25 &amp;"ft"</f>
        <v>2ft</v>
      </c>
      <c r="J6" s="64"/>
      <c r="K6" s="65"/>
      <c r="L6" s="52"/>
      <c r="M6" s="52"/>
      <c r="N6" s="52"/>
      <c r="O6" s="28" t="str">
        <f>E23 &amp;"ft"</f>
        <v>2ft</v>
      </c>
      <c r="P6" s="55"/>
    </row>
    <row r="7" spans="2:18" ht="15" customHeight="1" thickTop="1" x14ac:dyDescent="0.25">
      <c r="B7" s="93" t="s">
        <v>60</v>
      </c>
      <c r="C7" s="95">
        <v>3</v>
      </c>
      <c r="H7" s="55"/>
      <c r="I7" s="1"/>
      <c r="J7" s="67" t="str">
        <f>R10 &amp; "ft"</f>
        <v>1.5ft</v>
      </c>
      <c r="K7" s="67"/>
      <c r="L7" s="67" t="str">
        <f>R9 &amp; "ft"</f>
        <v>5.5ft</v>
      </c>
      <c r="M7" s="67"/>
      <c r="N7" s="67"/>
      <c r="O7" s="20"/>
      <c r="P7" s="54" t="str">
        <f>E21 &amp; "ft"</f>
        <v>2ft</v>
      </c>
      <c r="R7">
        <f>C13-E21</f>
        <v>14</v>
      </c>
    </row>
    <row r="8" spans="2:18" ht="15.75" thickBot="1" x14ac:dyDescent="0.3">
      <c r="B8" s="24" t="s">
        <v>58</v>
      </c>
      <c r="C8" s="106">
        <v>0.5</v>
      </c>
      <c r="H8" s="55"/>
      <c r="I8" s="64"/>
      <c r="J8" s="65"/>
      <c r="K8" s="65"/>
      <c r="L8" s="65"/>
      <c r="M8" s="65"/>
      <c r="N8" s="65"/>
      <c r="O8" s="66"/>
      <c r="P8" s="54"/>
      <c r="R8">
        <f>E19-E23-E25</f>
        <v>7</v>
      </c>
    </row>
    <row r="9" spans="2:18" ht="19.5" thickTop="1" thickBot="1" x14ac:dyDescent="0.4">
      <c r="B9" s="24" t="s">
        <v>40</v>
      </c>
      <c r="C9" s="40">
        <v>120</v>
      </c>
      <c r="I9" s="28" t="str">
        <f>E27 &amp; "ft"</f>
        <v>2.5ft</v>
      </c>
      <c r="J9" s="85"/>
      <c r="K9" s="86"/>
      <c r="R9">
        <f>E19-E23-E25-E17</f>
        <v>5.5</v>
      </c>
    </row>
    <row r="10" spans="2:18" ht="18.75" thickTop="1" x14ac:dyDescent="0.35">
      <c r="B10" s="24" t="s">
        <v>41</v>
      </c>
      <c r="C10" s="40">
        <v>150</v>
      </c>
      <c r="J10" s="87" t="str">
        <f>J3</f>
        <v>1.5ft</v>
      </c>
      <c r="K10" s="87"/>
      <c r="R10">
        <f>R8-R9</f>
        <v>1.5</v>
      </c>
    </row>
    <row r="11" spans="2:18" x14ac:dyDescent="0.25">
      <c r="B11" s="27" t="s">
        <v>18</v>
      </c>
      <c r="C11" s="40">
        <v>30</v>
      </c>
      <c r="D11" s="43">
        <f>(PI()/180)*C11</f>
        <v>0.52359877559829882</v>
      </c>
      <c r="I11" s="55" t="str">
        <f>E19 &amp; "ft"</f>
        <v>11ft</v>
      </c>
      <c r="J11" s="55"/>
      <c r="K11" s="55"/>
      <c r="L11" s="55"/>
      <c r="M11" s="55"/>
      <c r="N11" s="55"/>
      <c r="O11" s="55"/>
    </row>
    <row r="12" spans="2:18" ht="18" x14ac:dyDescent="0.35">
      <c r="B12" s="24" t="s">
        <v>42</v>
      </c>
      <c r="C12" s="40">
        <v>8000</v>
      </c>
    </row>
    <row r="13" spans="2:18" x14ac:dyDescent="0.25">
      <c r="B13" s="24" t="s">
        <v>19</v>
      </c>
      <c r="C13" s="40">
        <f>C6+C7</f>
        <v>16</v>
      </c>
    </row>
    <row r="14" spans="2:18" ht="15.75" thickBot="1" x14ac:dyDescent="0.3">
      <c r="B14" s="26" t="s">
        <v>35</v>
      </c>
      <c r="C14" s="41">
        <v>400</v>
      </c>
    </row>
    <row r="15" spans="2:18" ht="15.75" thickBot="1" x14ac:dyDescent="0.3"/>
    <row r="16" spans="2:18" ht="15.75" thickBot="1" x14ac:dyDescent="0.3">
      <c r="B16" s="9" t="s">
        <v>16</v>
      </c>
      <c r="C16" s="10" t="s">
        <v>17</v>
      </c>
      <c r="D16" s="10" t="s">
        <v>20</v>
      </c>
      <c r="E16" s="11" t="s">
        <v>21</v>
      </c>
    </row>
    <row r="17" spans="2:7" x14ac:dyDescent="0.25">
      <c r="B17" s="56" t="s">
        <v>1</v>
      </c>
      <c r="C17" s="13" t="s">
        <v>6</v>
      </c>
      <c r="D17" s="96">
        <f>3.28*0.3</f>
        <v>0.98399999999999987</v>
      </c>
      <c r="E17" s="48">
        <v>1.5</v>
      </c>
      <c r="F17" s="3"/>
      <c r="G17" s="3"/>
    </row>
    <row r="18" spans="2:7" ht="15.75" thickBot="1" x14ac:dyDescent="0.3">
      <c r="B18" s="57"/>
      <c r="C18" s="14" t="s">
        <v>9</v>
      </c>
      <c r="D18" s="19">
        <f>C13/12</f>
        <v>1.3333333333333333</v>
      </c>
      <c r="E18" s="49"/>
      <c r="F18" s="3"/>
      <c r="G18" s="3"/>
    </row>
    <row r="19" spans="2:7" x14ac:dyDescent="0.25">
      <c r="B19" s="56" t="s">
        <v>2</v>
      </c>
      <c r="C19" s="13" t="s">
        <v>11</v>
      </c>
      <c r="D19" s="96">
        <f>0.5*C13</f>
        <v>8</v>
      </c>
      <c r="E19" s="48">
        <v>11</v>
      </c>
      <c r="F19" s="3"/>
      <c r="G19" s="3"/>
    </row>
    <row r="20" spans="2:7" ht="15.75" thickBot="1" x14ac:dyDescent="0.3">
      <c r="B20" s="57"/>
      <c r="C20" s="14" t="s">
        <v>10</v>
      </c>
      <c r="D20" s="19">
        <f>0.7*C13</f>
        <v>11.2</v>
      </c>
      <c r="E20" s="49"/>
      <c r="F20" s="3"/>
      <c r="G20" s="3"/>
    </row>
    <row r="21" spans="2:7" x14ac:dyDescent="0.25">
      <c r="B21" s="56" t="s">
        <v>3</v>
      </c>
      <c r="C21" s="13" t="s">
        <v>12</v>
      </c>
      <c r="D21" s="96">
        <f>C13/8</f>
        <v>2</v>
      </c>
      <c r="E21" s="48">
        <v>2</v>
      </c>
      <c r="F21" s="3"/>
      <c r="G21" s="3"/>
    </row>
    <row r="22" spans="2:7" ht="15.75" thickBot="1" x14ac:dyDescent="0.3">
      <c r="B22" s="57"/>
      <c r="C22" s="14" t="s">
        <v>13</v>
      </c>
      <c r="D22" s="19">
        <f>C13/6</f>
        <v>2.6666666666666665</v>
      </c>
      <c r="E22" s="49"/>
      <c r="F22" s="3"/>
      <c r="G22" s="3"/>
    </row>
    <row r="23" spans="2:7" x14ac:dyDescent="0.25">
      <c r="B23" s="56" t="s">
        <v>4</v>
      </c>
      <c r="C23" s="13" t="s">
        <v>14</v>
      </c>
      <c r="D23" s="96">
        <f>0.3*E19</f>
        <v>3.3</v>
      </c>
      <c r="E23" s="48">
        <v>2</v>
      </c>
      <c r="F23" s="3"/>
      <c r="G23" s="3"/>
    </row>
    <row r="24" spans="2:7" ht="15.75" thickBot="1" x14ac:dyDescent="0.3">
      <c r="B24" s="57"/>
      <c r="C24" s="14" t="s">
        <v>15</v>
      </c>
      <c r="D24" s="19">
        <f>0.4*E19</f>
        <v>4.4000000000000004</v>
      </c>
      <c r="E24" s="49"/>
      <c r="F24" s="3"/>
      <c r="G24" s="3"/>
    </row>
    <row r="25" spans="2:7" x14ac:dyDescent="0.25">
      <c r="B25" s="56" t="s">
        <v>5</v>
      </c>
      <c r="C25" s="15" t="s">
        <v>7</v>
      </c>
      <c r="D25" s="97">
        <f>E21/2</f>
        <v>1</v>
      </c>
      <c r="E25" s="48">
        <v>2</v>
      </c>
      <c r="F25" s="3"/>
      <c r="G25" s="3"/>
    </row>
    <row r="26" spans="2:7" ht="15.75" thickBot="1" x14ac:dyDescent="0.3">
      <c r="B26" s="90"/>
      <c r="C26" s="44" t="s">
        <v>8</v>
      </c>
      <c r="D26" s="98">
        <f>E21</f>
        <v>2</v>
      </c>
      <c r="E26" s="91"/>
      <c r="F26" s="3"/>
      <c r="G26" s="3"/>
    </row>
    <row r="27" spans="2:7" x14ac:dyDescent="0.25">
      <c r="B27" s="100" t="s">
        <v>56</v>
      </c>
      <c r="C27" s="101"/>
      <c r="D27" s="102"/>
      <c r="E27" s="88">
        <v>2.5</v>
      </c>
    </row>
    <row r="28" spans="2:7" ht="15.75" thickBot="1" x14ac:dyDescent="0.3">
      <c r="B28" s="103"/>
      <c r="C28" s="104"/>
      <c r="D28" s="105"/>
      <c r="E28" s="89"/>
    </row>
    <row r="30" spans="2:7" ht="15.75" thickBot="1" x14ac:dyDescent="0.3"/>
    <row r="31" spans="2:7" x14ac:dyDescent="0.25">
      <c r="B31" s="58" t="s">
        <v>22</v>
      </c>
      <c r="C31" s="59"/>
    </row>
    <row r="32" spans="2:7" ht="15.75" thickBot="1" x14ac:dyDescent="0.3">
      <c r="B32" s="24" t="s">
        <v>23</v>
      </c>
      <c r="C32" s="25">
        <f>(1-SIN(D11))/(1+SIN(D11))</f>
        <v>0.33333333333333331</v>
      </c>
    </row>
    <row r="33" spans="2:10" x14ac:dyDescent="0.25">
      <c r="B33" s="24" t="s">
        <v>0</v>
      </c>
      <c r="C33" s="25">
        <f>C13</f>
        <v>16</v>
      </c>
      <c r="F33" s="81"/>
      <c r="G33" s="83">
        <f>G46/C37</f>
        <v>2.8365994966947112</v>
      </c>
      <c r="H33" s="69" t="str">
        <f>IF(G33&gt;2.5,"OK!","REDESIGN")</f>
        <v>OK!</v>
      </c>
      <c r="I33" s="70"/>
      <c r="J33" s="70"/>
    </row>
    <row r="34" spans="2:10" ht="15.75" thickBot="1" x14ac:dyDescent="0.3">
      <c r="B34" s="24" t="s">
        <v>24</v>
      </c>
      <c r="C34" s="25">
        <f>C14/C9</f>
        <v>3.3333333333333335</v>
      </c>
      <c r="F34" s="82"/>
      <c r="G34" s="84"/>
      <c r="H34" s="69"/>
      <c r="I34" s="70"/>
      <c r="J34" s="70"/>
    </row>
    <row r="35" spans="2:10" x14ac:dyDescent="0.25">
      <c r="B35" s="24" t="s">
        <v>36</v>
      </c>
      <c r="C35" s="25">
        <f>((C33^2)+3*(C33)*(C34))/(3*(C33+2*(C34)))</f>
        <v>6.117647058823529</v>
      </c>
    </row>
    <row r="36" spans="2:10" x14ac:dyDescent="0.25">
      <c r="B36" s="24" t="s">
        <v>37</v>
      </c>
      <c r="C36" s="25">
        <f>1/2*C32*C9*C33*(C33+2*(C34))</f>
        <v>7253.3333333333339</v>
      </c>
    </row>
    <row r="37" spans="2:10" ht="15.75" thickBot="1" x14ac:dyDescent="0.3">
      <c r="B37" s="26" t="s">
        <v>38</v>
      </c>
      <c r="C37" s="99">
        <f>C36*C35</f>
        <v>44373.333333333336</v>
      </c>
    </row>
    <row r="38" spans="2:10" ht="15.75" thickBot="1" x14ac:dyDescent="0.3"/>
    <row r="39" spans="2:10" ht="17.25" x14ac:dyDescent="0.25">
      <c r="B39" s="6" t="s">
        <v>32</v>
      </c>
      <c r="C39" s="7" t="s">
        <v>26</v>
      </c>
      <c r="D39" s="7" t="s">
        <v>28</v>
      </c>
      <c r="E39" s="7" t="s">
        <v>27</v>
      </c>
      <c r="F39" s="7" t="s">
        <v>25</v>
      </c>
      <c r="G39" s="8" t="s">
        <v>39</v>
      </c>
    </row>
    <row r="40" spans="2:10" x14ac:dyDescent="0.25">
      <c r="B40" s="16" t="s">
        <v>29</v>
      </c>
      <c r="C40" s="2">
        <f>E17*R7*1</f>
        <v>21</v>
      </c>
      <c r="D40" s="2">
        <f>C10</f>
        <v>150</v>
      </c>
      <c r="E40" s="2">
        <f>C40*D40</f>
        <v>3150</v>
      </c>
      <c r="F40" s="17">
        <f>E25+E17/2</f>
        <v>2.75</v>
      </c>
      <c r="G40" s="37">
        <f t="shared" ref="G40:G45" si="0">E40*F40</f>
        <v>8662.5</v>
      </c>
    </row>
    <row r="41" spans="2:10" x14ac:dyDescent="0.25">
      <c r="B41" s="16" t="s">
        <v>30</v>
      </c>
      <c r="C41" s="2">
        <f>1/2*(R9*R7)*1</f>
        <v>38.5</v>
      </c>
      <c r="D41" s="2">
        <f>C10</f>
        <v>150</v>
      </c>
      <c r="E41" s="2">
        <f t="shared" ref="E41:E44" si="1">C41*D41</f>
        <v>5775</v>
      </c>
      <c r="F41" s="17">
        <f>E25+R10+R9/3</f>
        <v>5.333333333333333</v>
      </c>
      <c r="G41" s="37">
        <f t="shared" si="0"/>
        <v>30800</v>
      </c>
    </row>
    <row r="42" spans="2:10" x14ac:dyDescent="0.25">
      <c r="B42" s="16" t="s">
        <v>31</v>
      </c>
      <c r="C42" s="2">
        <f>E19*E21*1</f>
        <v>22</v>
      </c>
      <c r="D42" s="2">
        <f>C10</f>
        <v>150</v>
      </c>
      <c r="E42" s="2">
        <f t="shared" si="1"/>
        <v>3300</v>
      </c>
      <c r="F42" s="17">
        <f>E19/2</f>
        <v>5.5</v>
      </c>
      <c r="G42" s="37">
        <f t="shared" si="0"/>
        <v>18150</v>
      </c>
    </row>
    <row r="43" spans="2:10" x14ac:dyDescent="0.25">
      <c r="B43" s="16" t="s">
        <v>33</v>
      </c>
      <c r="C43" s="2">
        <f>1/2*R7*R9*1</f>
        <v>38.5</v>
      </c>
      <c r="D43" s="2">
        <f>C9</f>
        <v>120</v>
      </c>
      <c r="E43" s="2">
        <f t="shared" si="1"/>
        <v>4620</v>
      </c>
      <c r="F43" s="17">
        <f>E25+R10+R9*2/3</f>
        <v>7.1666666666666661</v>
      </c>
      <c r="G43" s="37">
        <f t="shared" si="0"/>
        <v>33110</v>
      </c>
    </row>
    <row r="44" spans="2:10" x14ac:dyDescent="0.25">
      <c r="B44" s="16" t="s">
        <v>34</v>
      </c>
      <c r="C44" s="2">
        <f>E23*R7*1</f>
        <v>28</v>
      </c>
      <c r="D44" s="2">
        <f>C9</f>
        <v>120</v>
      </c>
      <c r="E44" s="2">
        <f t="shared" si="1"/>
        <v>3360</v>
      </c>
      <c r="F44" s="17">
        <f>E25+R8+(E23/2)</f>
        <v>10</v>
      </c>
      <c r="G44" s="37">
        <f t="shared" si="0"/>
        <v>33600</v>
      </c>
    </row>
    <row r="45" spans="2:10" x14ac:dyDescent="0.25">
      <c r="B45" s="16" t="s">
        <v>57</v>
      </c>
      <c r="C45" s="2">
        <f>E27*E17*1</f>
        <v>3.75</v>
      </c>
      <c r="D45" s="2">
        <v>150</v>
      </c>
      <c r="E45" s="2">
        <f>C45*D45</f>
        <v>562.5</v>
      </c>
      <c r="F45" s="17">
        <f>E25+E17/2</f>
        <v>2.75</v>
      </c>
      <c r="G45" s="37">
        <f t="shared" si="0"/>
        <v>1546.875</v>
      </c>
    </row>
    <row r="46" spans="2:10" ht="15.75" thickBot="1" x14ac:dyDescent="0.3">
      <c r="E46" s="45">
        <f>SUM(E40:E45)</f>
        <v>20767.5</v>
      </c>
      <c r="G46" s="46">
        <f>SUM(G40:G45)</f>
        <v>125869.375</v>
      </c>
    </row>
    <row r="49" spans="2:7" ht="15.75" thickBot="1" x14ac:dyDescent="0.3"/>
    <row r="50" spans="2:7" x14ac:dyDescent="0.25">
      <c r="B50" s="71" t="s">
        <v>43</v>
      </c>
      <c r="C50" s="72"/>
    </row>
    <row r="51" spans="2:7" x14ac:dyDescent="0.25">
      <c r="B51" s="75"/>
      <c r="C51" s="73">
        <f>(0.5*E46)/C36</f>
        <v>1.4315831801470587</v>
      </c>
      <c r="D51" s="69" t="str">
        <f>IF(C51&gt;1.5,"OK!","REDESIGN")</f>
        <v>REDESIGN</v>
      </c>
    </row>
    <row r="52" spans="2:7" ht="15.75" thickBot="1" x14ac:dyDescent="0.3">
      <c r="B52" s="76"/>
      <c r="C52" s="74"/>
      <c r="D52" s="69"/>
    </row>
    <row r="56" spans="2:7" ht="15.75" thickBot="1" x14ac:dyDescent="0.3"/>
    <row r="57" spans="2:7" ht="15.75" thickBot="1" x14ac:dyDescent="0.3">
      <c r="E57" s="6" t="s">
        <v>48</v>
      </c>
      <c r="F57" s="7" t="s">
        <v>46</v>
      </c>
      <c r="G57" s="8" t="s">
        <v>49</v>
      </c>
    </row>
    <row r="58" spans="2:7" x14ac:dyDescent="0.25">
      <c r="B58" s="71" t="s">
        <v>44</v>
      </c>
      <c r="C58" s="72"/>
      <c r="E58" s="16" t="s">
        <v>47</v>
      </c>
      <c r="F58" s="33">
        <f>(4*(E19)-6*(C59))*((E46)/E19^2)</f>
        <v>3510.6921487603308</v>
      </c>
      <c r="G58" s="29">
        <f>((6*C59)-(2*E19))*(E46/E19^2)</f>
        <v>265.21694214875987</v>
      </c>
    </row>
    <row r="59" spans="2:7" x14ac:dyDescent="0.25">
      <c r="B59" s="35" t="s">
        <v>45</v>
      </c>
      <c r="C59" s="29">
        <f>(G46-C37)/E46</f>
        <v>3.9242105051964202</v>
      </c>
      <c r="D59" s="32"/>
      <c r="E59" s="16" t="s">
        <v>51</v>
      </c>
      <c r="F59" s="33">
        <f>(2*E46)/E19</f>
        <v>3775.909090909091</v>
      </c>
      <c r="G59" s="29">
        <v>0</v>
      </c>
    </row>
    <row r="60" spans="2:7" ht="15.75" thickBot="1" x14ac:dyDescent="0.3">
      <c r="B60" s="35" t="s">
        <v>52</v>
      </c>
      <c r="C60" s="29">
        <f>E19/3</f>
        <v>3.6666666666666665</v>
      </c>
      <c r="D60" s="32"/>
      <c r="E60" s="12" t="s">
        <v>50</v>
      </c>
      <c r="F60" s="34">
        <f>(2*E46)/(3*C59)</f>
        <v>3528.098194953232</v>
      </c>
      <c r="G60" s="23">
        <v>0</v>
      </c>
    </row>
    <row r="61" spans="2:7" x14ac:dyDescent="0.25">
      <c r="B61" s="35" t="s">
        <v>53</v>
      </c>
      <c r="C61" s="30" t="str">
        <f>IF(C59 &gt; C60,"a &gt; l/3",IF(C59 = C60,"a = l/3","a &lt; l/3"))</f>
        <v>a &gt; l/3</v>
      </c>
    </row>
    <row r="62" spans="2:7" x14ac:dyDescent="0.25">
      <c r="B62" s="35" t="s">
        <v>46</v>
      </c>
      <c r="C62" s="29">
        <f>IF(C61=E58,F58,IF(C61=E59,F59,F60))</f>
        <v>3510.6921487603308</v>
      </c>
    </row>
    <row r="63" spans="2:7" x14ac:dyDescent="0.25">
      <c r="B63" s="35" t="s">
        <v>49</v>
      </c>
      <c r="C63" s="42">
        <f>IF(C61=E58,G58,IF(C61=E59,G59,G60))</f>
        <v>265.21694214875987</v>
      </c>
    </row>
    <row r="64" spans="2:7" ht="15.75" thickBot="1" x14ac:dyDescent="0.3">
      <c r="B64" s="36" t="s">
        <v>54</v>
      </c>
      <c r="C64" s="23">
        <f>IF(C62&gt;C63, C62, C63)</f>
        <v>3510.6921487603308</v>
      </c>
    </row>
    <row r="65" spans="2:7" ht="15.75" thickBot="1" x14ac:dyDescent="0.3"/>
    <row r="66" spans="2:7" ht="18" customHeight="1" x14ac:dyDescent="0.25">
      <c r="B66" s="77" t="str">
        <f>IF(C12&gt;C64, "qa &gt; q", "qa &lt; q")</f>
        <v>qa &gt; q</v>
      </c>
      <c r="C66" s="78"/>
      <c r="D66" s="69" t="str">
        <f>IF(C12&gt;C64,"OK!","REDESIGN")</f>
        <v>OK!</v>
      </c>
    </row>
    <row r="67" spans="2:7" ht="15.75" thickBot="1" x14ac:dyDescent="0.3">
      <c r="B67" s="79"/>
      <c r="C67" s="80"/>
      <c r="D67" s="69"/>
    </row>
    <row r="69" spans="2:7" ht="15.75" thickBot="1" x14ac:dyDescent="0.3"/>
    <row r="70" spans="2:7" x14ac:dyDescent="0.25">
      <c r="E70" s="6" t="s">
        <v>55</v>
      </c>
      <c r="F70" s="7" t="s">
        <v>43</v>
      </c>
      <c r="G70" s="8" t="s">
        <v>44</v>
      </c>
    </row>
    <row r="71" spans="2:7" ht="15.75" thickBot="1" x14ac:dyDescent="0.3">
      <c r="E71" s="12" t="str">
        <f>H33</f>
        <v>OK!</v>
      </c>
      <c r="F71" s="5" t="str">
        <f>D51</f>
        <v>REDESIGN</v>
      </c>
      <c r="G71" s="31" t="str">
        <f>D66</f>
        <v>OK!</v>
      </c>
    </row>
  </sheetData>
  <mergeCells count="36">
    <mergeCell ref="P4:P6"/>
    <mergeCell ref="J7:K7"/>
    <mergeCell ref="L7:N7"/>
    <mergeCell ref="P7:P8"/>
    <mergeCell ref="I8:O8"/>
    <mergeCell ref="J2:K2"/>
    <mergeCell ref="J3:K3"/>
    <mergeCell ref="H4:H8"/>
    <mergeCell ref="J4:K6"/>
    <mergeCell ref="L4:N6"/>
    <mergeCell ref="E25:E26"/>
    <mergeCell ref="B31:C31"/>
    <mergeCell ref="F33:F34"/>
    <mergeCell ref="I11:O11"/>
    <mergeCell ref="B17:B18"/>
    <mergeCell ref="E17:E18"/>
    <mergeCell ref="B19:B20"/>
    <mergeCell ref="E19:E20"/>
    <mergeCell ref="B21:B22"/>
    <mergeCell ref="E21:E22"/>
    <mergeCell ref="B27:D28"/>
    <mergeCell ref="B58:C58"/>
    <mergeCell ref="B66:C67"/>
    <mergeCell ref="D66:D67"/>
    <mergeCell ref="J9:K9"/>
    <mergeCell ref="J10:K10"/>
    <mergeCell ref="E27:E28"/>
    <mergeCell ref="G33:G34"/>
    <mergeCell ref="H33:J34"/>
    <mergeCell ref="B50:C50"/>
    <mergeCell ref="B51:B52"/>
    <mergeCell ref="C51:C52"/>
    <mergeCell ref="D51:D52"/>
    <mergeCell ref="B23:B24"/>
    <mergeCell ref="E23:E24"/>
    <mergeCell ref="B25:B26"/>
  </mergeCells>
  <conditionalFormatting sqref="D51:D52">
    <cfRule type="cellIs" dxfId="10" priority="7" operator="equal">
      <formula>"OK!"</formula>
    </cfRule>
    <cfRule type="cellIs" dxfId="9" priority="8" operator="equal">
      <formula>"REDESIGN"</formula>
    </cfRule>
  </conditionalFormatting>
  <conditionalFormatting sqref="D59:D60">
    <cfRule type="cellIs" dxfId="8" priority="5" operator="equal">
      <formula>"OK!"</formula>
    </cfRule>
    <cfRule type="cellIs" dxfId="7" priority="6" operator="equal">
      <formula>"REDESIGN"</formula>
    </cfRule>
  </conditionalFormatting>
  <conditionalFormatting sqref="D66:D67">
    <cfRule type="cellIs" dxfId="6" priority="3" operator="equal">
      <formula>"REDESIGN"</formula>
    </cfRule>
    <cfRule type="cellIs" dxfId="5" priority="4" operator="equal">
      <formula>"OK!"</formula>
    </cfRule>
  </conditionalFormatting>
  <conditionalFormatting sqref="E71:G71">
    <cfRule type="cellIs" dxfId="4" priority="1" operator="equal">
      <formula>"OK!"</formula>
    </cfRule>
    <cfRule type="cellIs" dxfId="3" priority="2" operator="equal">
      <formula>"REDESIGN"</formula>
    </cfRule>
  </conditionalFormatting>
  <conditionalFormatting sqref="H33:J34">
    <cfRule type="cellIs" dxfId="2" priority="9" operator="equal">
      <formula>"OK!"</formula>
    </cfRule>
    <cfRule type="cellIs" dxfId="1" priority="10" operator="equal">
      <formula>"OK"</formula>
    </cfRule>
    <cfRule type="cellIs" dxfId="0" priority="11" operator="equal">
      <formula>"REDESIGN"</formula>
    </cfRule>
  </conditionalFormatting>
  <pageMargins left="0.7" right="0.7" top="0.75" bottom="0.75" header="0.3" footer="0.3"/>
  <pageSetup orientation="portrait" r:id="rId1"/>
  <ignoredErrors>
    <ignoredError sqref="F40:F4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Shear Key</vt:lpstr>
      <vt:lpstr>With Shear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</dc:creator>
  <cp:lastModifiedBy>(FA22-CVE-055) KASHAN SHAFIQ</cp:lastModifiedBy>
  <dcterms:created xsi:type="dcterms:W3CDTF">2015-06-05T18:17:20Z</dcterms:created>
  <dcterms:modified xsi:type="dcterms:W3CDTF">2025-12-09T05:21:21Z</dcterms:modified>
</cp:coreProperties>
</file>