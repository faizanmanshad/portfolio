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versity\7th Semester\W02 - CEPs\S01 - RCD 2\"/>
    </mc:Choice>
  </mc:AlternateContent>
  <xr:revisionPtr revIDLastSave="0" documentId="13_ncr:1_{03A7775B-6D4B-437E-808E-D655B9D29D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ithout Shear Key" sheetId="6" r:id="rId1"/>
    <sheet name="With Shear Key " sheetId="7" r:id="rId2"/>
  </sheets>
  <definedNames>
    <definedName name="_xlnm.Print_Area" localSheetId="0">'Without Shear Key'!$A$1:$S$223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3" i="7" l="1"/>
  <c r="G142" i="7"/>
  <c r="G141" i="7"/>
  <c r="G140" i="7"/>
  <c r="G139" i="7"/>
  <c r="G138" i="7"/>
  <c r="G137" i="7"/>
  <c r="G136" i="7"/>
  <c r="G135" i="7"/>
  <c r="G134" i="7"/>
  <c r="E136" i="7"/>
  <c r="E138" i="7"/>
  <c r="E140" i="7"/>
  <c r="E142" i="7"/>
  <c r="E134" i="7"/>
  <c r="D131" i="7"/>
  <c r="K142" i="7"/>
  <c r="K140" i="7"/>
  <c r="K138" i="7"/>
  <c r="K136" i="7"/>
  <c r="K134" i="7"/>
  <c r="D20" i="6"/>
  <c r="E18" i="6"/>
  <c r="D20" i="7"/>
  <c r="G175" i="7" l="1"/>
  <c r="G176" i="7" s="1"/>
  <c r="E55" i="7"/>
  <c r="D55" i="7"/>
  <c r="F55" i="7" s="1"/>
  <c r="M8" i="7"/>
  <c r="C239" i="7"/>
  <c r="C236" i="7"/>
  <c r="C233" i="7"/>
  <c r="B233" i="7"/>
  <c r="E198" i="7"/>
  <c r="E185" i="7"/>
  <c r="E184" i="7"/>
  <c r="D175" i="7"/>
  <c r="E161" i="7"/>
  <c r="E160" i="7"/>
  <c r="G153" i="7"/>
  <c r="D155" i="7" s="1"/>
  <c r="E113" i="7"/>
  <c r="D114" i="7" s="1"/>
  <c r="E104" i="7"/>
  <c r="E103" i="7"/>
  <c r="D99" i="7"/>
  <c r="H95" i="7" s="1"/>
  <c r="AA98" i="7"/>
  <c r="AD98" i="7" s="1"/>
  <c r="AA97" i="7"/>
  <c r="AD97" i="7" s="1"/>
  <c r="AA96" i="7"/>
  <c r="AD96" i="7" s="1"/>
  <c r="AA95" i="7"/>
  <c r="AD95" i="7" s="1"/>
  <c r="AA94" i="7"/>
  <c r="AD94" i="7" s="1"/>
  <c r="AA93" i="7"/>
  <c r="AD93" i="7" s="1"/>
  <c r="D125" i="7" s="1"/>
  <c r="AA92" i="7"/>
  <c r="AD92" i="7" s="1"/>
  <c r="E92" i="7"/>
  <c r="AA91" i="7"/>
  <c r="AD91" i="7" s="1"/>
  <c r="N91" i="7"/>
  <c r="AA90" i="7"/>
  <c r="AD90" i="7" s="1"/>
  <c r="AA89" i="7"/>
  <c r="AD89" i="7" s="1"/>
  <c r="D70" i="7"/>
  <c r="E54" i="7"/>
  <c r="G53" i="7"/>
  <c r="E53" i="7"/>
  <c r="D53" i="7"/>
  <c r="E52" i="7"/>
  <c r="E51" i="7"/>
  <c r="D45" i="7"/>
  <c r="D44" i="7"/>
  <c r="F34" i="7"/>
  <c r="F33" i="7"/>
  <c r="F36" i="7" s="1"/>
  <c r="E31" i="7"/>
  <c r="E30" i="7"/>
  <c r="E29" i="7"/>
  <c r="E28" i="7"/>
  <c r="E27" i="7"/>
  <c r="E26" i="7"/>
  <c r="E25" i="7"/>
  <c r="E24" i="7"/>
  <c r="E18" i="7"/>
  <c r="D43" i="7" s="1"/>
  <c r="U8" i="7"/>
  <c r="K10" i="7"/>
  <c r="M180" i="7" s="1"/>
  <c r="U7" i="7"/>
  <c r="U6" i="7"/>
  <c r="R6" i="7"/>
  <c r="P149" i="7" s="1"/>
  <c r="R3" i="7"/>
  <c r="P85" i="7" s="1"/>
  <c r="J3" i="7"/>
  <c r="N2" i="7"/>
  <c r="O84" i="7" s="1"/>
  <c r="D174" i="6"/>
  <c r="C238" i="6"/>
  <c r="C235" i="6"/>
  <c r="C232" i="6"/>
  <c r="B232" i="6"/>
  <c r="E197" i="6"/>
  <c r="E184" i="6"/>
  <c r="E183" i="6"/>
  <c r="G174" i="6"/>
  <c r="G175" i="6" s="1"/>
  <c r="E160" i="6"/>
  <c r="E159" i="6"/>
  <c r="G152" i="6"/>
  <c r="D154" i="6" s="1"/>
  <c r="E111" i="6"/>
  <c r="D114" i="6" s="1"/>
  <c r="E102" i="6"/>
  <c r="E101" i="6"/>
  <c r="D97" i="6"/>
  <c r="E121" i="6" s="1"/>
  <c r="AA96" i="6"/>
  <c r="AD96" i="6" s="1"/>
  <c r="AA95" i="6"/>
  <c r="AD95" i="6" s="1"/>
  <c r="AA94" i="6"/>
  <c r="AD94" i="6" s="1"/>
  <c r="AA93" i="6"/>
  <c r="AD93" i="6" s="1"/>
  <c r="AA92" i="6"/>
  <c r="AD92" i="6" s="1"/>
  <c r="AA91" i="6"/>
  <c r="AD91" i="6" s="1"/>
  <c r="AA90" i="6"/>
  <c r="AD90" i="6" s="1"/>
  <c r="E90" i="6"/>
  <c r="AA89" i="6"/>
  <c r="AD89" i="6" s="1"/>
  <c r="N89" i="6"/>
  <c r="AA88" i="6"/>
  <c r="AD88" i="6" s="1"/>
  <c r="AA87" i="6"/>
  <c r="AD87" i="6" s="1"/>
  <c r="D68" i="6"/>
  <c r="E53" i="6"/>
  <c r="G52" i="6"/>
  <c r="E52" i="6"/>
  <c r="D52" i="6"/>
  <c r="E51" i="6"/>
  <c r="E50" i="6"/>
  <c r="D44" i="6"/>
  <c r="D43" i="6"/>
  <c r="F33" i="6"/>
  <c r="F32" i="6"/>
  <c r="F35" i="6" s="1"/>
  <c r="E31" i="6"/>
  <c r="E30" i="6"/>
  <c r="E29" i="6"/>
  <c r="E28" i="6"/>
  <c r="E27" i="6"/>
  <c r="E26" i="6"/>
  <c r="E25" i="6"/>
  <c r="E24" i="6"/>
  <c r="D42" i="6"/>
  <c r="U8" i="6"/>
  <c r="N6" i="6" s="1"/>
  <c r="K8" i="6"/>
  <c r="M179" i="6" s="1"/>
  <c r="U7" i="6"/>
  <c r="U6" i="6"/>
  <c r="D129" i="6" s="1"/>
  <c r="E129" i="6" s="1"/>
  <c r="C132" i="6" s="1"/>
  <c r="R6" i="6"/>
  <c r="P148" i="6" s="1"/>
  <c r="R3" i="6"/>
  <c r="P83" i="6" s="1"/>
  <c r="J3" i="6"/>
  <c r="N2" i="6"/>
  <c r="O82" i="6" s="1"/>
  <c r="E134" i="6" l="1"/>
  <c r="E136" i="6"/>
  <c r="E138" i="6"/>
  <c r="E140" i="6"/>
  <c r="E132" i="6"/>
  <c r="N6" i="7"/>
  <c r="N9" i="7" s="1"/>
  <c r="E131" i="7"/>
  <c r="C134" i="7" s="1"/>
  <c r="D123" i="6"/>
  <c r="K134" i="6"/>
  <c r="K138" i="6"/>
  <c r="K140" i="6"/>
  <c r="K132" i="6"/>
  <c r="K136" i="6"/>
  <c r="G136" i="6"/>
  <c r="G134" i="6"/>
  <c r="G132" i="6"/>
  <c r="G140" i="6"/>
  <c r="G138" i="6"/>
  <c r="G137" i="6"/>
  <c r="G135" i="6"/>
  <c r="G133" i="6"/>
  <c r="G141" i="6"/>
  <c r="G139" i="6"/>
  <c r="C134" i="6"/>
  <c r="C140" i="6"/>
  <c r="C138" i="6"/>
  <c r="C136" i="6"/>
  <c r="M6" i="6"/>
  <c r="F53" i="7"/>
  <c r="H53" i="7" s="1"/>
  <c r="G55" i="7"/>
  <c r="H55" i="7" s="1"/>
  <c r="D191" i="7"/>
  <c r="D205" i="7"/>
  <c r="D110" i="7"/>
  <c r="D201" i="7"/>
  <c r="E123" i="7"/>
  <c r="L174" i="7"/>
  <c r="D52" i="7"/>
  <c r="F52" i="7" s="1"/>
  <c r="E125" i="7"/>
  <c r="F124" i="7" s="1"/>
  <c r="E233" i="7" s="1"/>
  <c r="Q225" i="7" s="1"/>
  <c r="M6" i="7"/>
  <c r="D46" i="7"/>
  <c r="K5" i="7"/>
  <c r="M173" i="7" s="1"/>
  <c r="G52" i="7"/>
  <c r="G51" i="7"/>
  <c r="F35" i="7"/>
  <c r="D54" i="7" s="1"/>
  <c r="F54" i="7" s="1"/>
  <c r="B239" i="7"/>
  <c r="M181" i="7"/>
  <c r="M194" i="7" s="1"/>
  <c r="F117" i="7"/>
  <c r="F115" i="7"/>
  <c r="G115" i="7" s="1"/>
  <c r="H114" i="7" s="1"/>
  <c r="F233" i="7" s="1"/>
  <c r="E205" i="7"/>
  <c r="F204" i="7" s="1"/>
  <c r="F236" i="7" s="1"/>
  <c r="F239" i="7" s="1"/>
  <c r="D47" i="7"/>
  <c r="D93" i="7"/>
  <c r="D94" i="7"/>
  <c r="E94" i="7" s="1"/>
  <c r="D168" i="7"/>
  <c r="D51" i="7"/>
  <c r="F51" i="7" s="1"/>
  <c r="D116" i="7"/>
  <c r="E123" i="6"/>
  <c r="F122" i="6" s="1"/>
  <c r="E232" i="6" s="1"/>
  <c r="Q224" i="6" s="1"/>
  <c r="L173" i="6"/>
  <c r="D51" i="6"/>
  <c r="F51" i="6" s="1"/>
  <c r="D45" i="6"/>
  <c r="D200" i="6"/>
  <c r="F52" i="6"/>
  <c r="H52" i="6" s="1"/>
  <c r="G50" i="6"/>
  <c r="B238" i="6"/>
  <c r="G51" i="6"/>
  <c r="M180" i="6"/>
  <c r="M193" i="6" s="1"/>
  <c r="K5" i="6"/>
  <c r="M172" i="6" s="1"/>
  <c r="F34" i="6"/>
  <c r="G53" i="6" s="1"/>
  <c r="D190" i="6"/>
  <c r="D108" i="6"/>
  <c r="D167" i="6"/>
  <c r="D204" i="6"/>
  <c r="D46" i="6"/>
  <c r="D92" i="6"/>
  <c r="E92" i="6" s="1"/>
  <c r="D91" i="6"/>
  <c r="F115" i="6"/>
  <c r="G115" i="6" s="1"/>
  <c r="H114" i="6" s="1"/>
  <c r="G232" i="6" s="1"/>
  <c r="P230" i="6" s="1"/>
  <c r="F113" i="6"/>
  <c r="D112" i="6"/>
  <c r="H93" i="6"/>
  <c r="D50" i="6"/>
  <c r="F50" i="6" s="1"/>
  <c r="D134" i="7" l="1"/>
  <c r="F134" i="7" s="1"/>
  <c r="C136" i="7"/>
  <c r="D136" i="7" s="1"/>
  <c r="F136" i="7" s="1"/>
  <c r="C138" i="7"/>
  <c r="D138" i="7" s="1"/>
  <c r="F138" i="7" s="1"/>
  <c r="C140" i="7"/>
  <c r="D140" i="7" s="1"/>
  <c r="F140" i="7" s="1"/>
  <c r="C142" i="7"/>
  <c r="D142" i="7" s="1"/>
  <c r="F142" i="7" s="1"/>
  <c r="H134" i="7"/>
  <c r="H51" i="6"/>
  <c r="W235" i="7"/>
  <c r="R249" i="7"/>
  <c r="F56" i="7"/>
  <c r="D61" i="7" s="1"/>
  <c r="E61" i="7" s="1"/>
  <c r="H52" i="7"/>
  <c r="G117" i="7"/>
  <c r="H116" i="7" s="1"/>
  <c r="G233" i="7" s="1"/>
  <c r="P231" i="7" s="1"/>
  <c r="D48" i="7"/>
  <c r="H51" i="7"/>
  <c r="D150" i="7"/>
  <c r="B236" i="7"/>
  <c r="O5" i="7"/>
  <c r="L148" i="7" s="1"/>
  <c r="D96" i="7"/>
  <c r="E93" i="7"/>
  <c r="E96" i="7" s="1"/>
  <c r="D100" i="7" s="1"/>
  <c r="D95" i="7"/>
  <c r="E95" i="7" s="1"/>
  <c r="H94" i="7" s="1"/>
  <c r="I94" i="7" s="1"/>
  <c r="C223" i="7" s="1"/>
  <c r="G54" i="7"/>
  <c r="H54" i="7" s="1"/>
  <c r="D151" i="7"/>
  <c r="Y247" i="7"/>
  <c r="L239" i="7"/>
  <c r="D47" i="6"/>
  <c r="D53" i="6"/>
  <c r="F53" i="6" s="1"/>
  <c r="H53" i="6" s="1"/>
  <c r="E204" i="6"/>
  <c r="F203" i="6" s="1"/>
  <c r="F235" i="6" s="1"/>
  <c r="F238" i="6" s="1"/>
  <c r="G113" i="6"/>
  <c r="H112" i="6" s="1"/>
  <c r="F232" i="6" s="1"/>
  <c r="W234" i="6" s="1"/>
  <c r="H50" i="6"/>
  <c r="D149" i="6"/>
  <c r="O5" i="6"/>
  <c r="L147" i="6" s="1"/>
  <c r="B235" i="6"/>
  <c r="E91" i="6"/>
  <c r="D94" i="6"/>
  <c r="D93" i="6"/>
  <c r="E93" i="6" s="1"/>
  <c r="H92" i="6" s="1"/>
  <c r="I92" i="6" s="1"/>
  <c r="C222" i="6" s="1"/>
  <c r="D150" i="6"/>
  <c r="I134" i="7" l="1"/>
  <c r="L134" i="7" s="1"/>
  <c r="H138" i="7"/>
  <c r="D136" i="6"/>
  <c r="F136" i="6" s="1"/>
  <c r="H136" i="6" s="1"/>
  <c r="I136" i="6" s="1"/>
  <c r="L136" i="6" s="1"/>
  <c r="D138" i="6"/>
  <c r="F138" i="6" s="1"/>
  <c r="H138" i="6" s="1"/>
  <c r="I138" i="6" s="1"/>
  <c r="L138" i="6" s="1"/>
  <c r="D134" i="6"/>
  <c r="F134" i="6" s="1"/>
  <c r="H134" i="6" s="1"/>
  <c r="I134" i="6" s="1"/>
  <c r="L134" i="6" s="1"/>
  <c r="D140" i="6"/>
  <c r="F140" i="6" s="1"/>
  <c r="H140" i="6" s="1"/>
  <c r="I140" i="6" s="1"/>
  <c r="L140" i="6" s="1"/>
  <c r="D132" i="6"/>
  <c r="F132" i="6" s="1"/>
  <c r="H132" i="6" s="1"/>
  <c r="I132" i="6" s="1"/>
  <c r="L132" i="6" s="1"/>
  <c r="E94" i="6"/>
  <c r="D98" i="6" s="1"/>
  <c r="D152" i="6"/>
  <c r="D153" i="6" s="1"/>
  <c r="E153" i="6" s="1"/>
  <c r="D222" i="6" s="1"/>
  <c r="D153" i="7"/>
  <c r="D154" i="7" s="1"/>
  <c r="E154" i="7" s="1"/>
  <c r="D223" i="7" s="1"/>
  <c r="H56" i="7"/>
  <c r="D106" i="7"/>
  <c r="E110" i="7" s="1"/>
  <c r="F109" i="7" s="1"/>
  <c r="D233" i="7" s="1"/>
  <c r="V227" i="7" s="1"/>
  <c r="D101" i="7"/>
  <c r="G69" i="7"/>
  <c r="M238" i="6"/>
  <c r="Y245" i="6"/>
  <c r="F54" i="6"/>
  <c r="H54" i="6"/>
  <c r="I138" i="7" l="1"/>
  <c r="L138" i="7" s="1"/>
  <c r="H136" i="7"/>
  <c r="H140" i="7"/>
  <c r="H142" i="7"/>
  <c r="D104" i="6"/>
  <c r="E108" i="6" s="1"/>
  <c r="F107" i="6" s="1"/>
  <c r="D232" i="6" s="1"/>
  <c r="V226" i="6" s="1"/>
  <c r="D99" i="6"/>
  <c r="D156" i="6"/>
  <c r="D157" i="6" s="1"/>
  <c r="D162" i="6" s="1"/>
  <c r="E167" i="6" s="1"/>
  <c r="F166" i="6" s="1"/>
  <c r="D235" i="6" s="1"/>
  <c r="Y238" i="6" s="1"/>
  <c r="H43" i="6"/>
  <c r="I43" i="6" s="1"/>
  <c r="C219" i="6" s="1"/>
  <c r="D67" i="6"/>
  <c r="D173" i="6" s="1"/>
  <c r="G176" i="6" s="1"/>
  <c r="M192" i="6" s="1"/>
  <c r="G67" i="6"/>
  <c r="D59" i="6"/>
  <c r="E59" i="6" s="1"/>
  <c r="G79" i="6" s="1"/>
  <c r="D157" i="7"/>
  <c r="D158" i="7" s="1"/>
  <c r="D163" i="7" s="1"/>
  <c r="E168" i="7" s="1"/>
  <c r="F167" i="7" s="1"/>
  <c r="D236" i="7" s="1"/>
  <c r="Y239" i="7" s="1"/>
  <c r="H44" i="7"/>
  <c r="I44" i="7" s="1"/>
  <c r="D69" i="7"/>
  <c r="D220" i="7"/>
  <c r="G81" i="7"/>
  <c r="I142" i="7" l="1"/>
  <c r="L142" i="7" s="1"/>
  <c r="I140" i="7"/>
  <c r="L140" i="7" s="1"/>
  <c r="I136" i="7"/>
  <c r="L136" i="7" s="1"/>
  <c r="F79" i="6"/>
  <c r="D69" i="6"/>
  <c r="G68" i="6"/>
  <c r="D175" i="6"/>
  <c r="G66" i="6"/>
  <c r="H66" i="6"/>
  <c r="C220" i="7"/>
  <c r="F81" i="7"/>
  <c r="D174" i="7"/>
  <c r="G177" i="7" s="1"/>
  <c r="M193" i="7" s="1"/>
  <c r="D71" i="7"/>
  <c r="H68" i="7"/>
  <c r="D176" i="7"/>
  <c r="G68" i="7"/>
  <c r="G70" i="7"/>
  <c r="D219" i="6"/>
  <c r="D177" i="6" l="1"/>
  <c r="Q183" i="6" s="1"/>
  <c r="D70" i="6"/>
  <c r="D71" i="6"/>
  <c r="D176" i="6"/>
  <c r="L186" i="6" s="1"/>
  <c r="D73" i="7"/>
  <c r="D177" i="7"/>
  <c r="D72" i="7"/>
  <c r="D178" i="7"/>
  <c r="Q184" i="7" s="1"/>
  <c r="D72" i="6" l="1"/>
  <c r="E74" i="6" s="1"/>
  <c r="D178" i="6"/>
  <c r="D74" i="7"/>
  <c r="C76" i="7" s="1"/>
  <c r="L187" i="7"/>
  <c r="D179" i="7"/>
  <c r="L198" i="6"/>
  <c r="O197" i="6" s="1"/>
  <c r="G180" i="6" s="1"/>
  <c r="G181" i="6" s="1"/>
  <c r="O185" i="6"/>
  <c r="D180" i="6" s="1"/>
  <c r="D181" i="6" s="1"/>
  <c r="D186" i="6" s="1"/>
  <c r="E190" i="6" s="1"/>
  <c r="F189" i="6" s="1"/>
  <c r="D238" i="6" s="1"/>
  <c r="N244" i="6" s="1"/>
  <c r="C74" i="6" l="1"/>
  <c r="E76" i="7"/>
  <c r="E220" i="7" s="1"/>
  <c r="O186" i="7"/>
  <c r="D181" i="7" s="1"/>
  <c r="D182" i="7" s="1"/>
  <c r="D187" i="7" s="1"/>
  <c r="E191" i="7" s="1"/>
  <c r="F190" i="7" s="1"/>
  <c r="D239" i="7" s="1"/>
  <c r="M246" i="7" s="1"/>
  <c r="L199" i="7"/>
  <c r="O198" i="7" s="1"/>
  <c r="G181" i="7" s="1"/>
  <c r="G182" i="7" s="1"/>
  <c r="H79" i="6"/>
  <c r="E219" i="6"/>
  <c r="H81" i="7" l="1"/>
</calcChain>
</file>

<file path=xl/sharedStrings.xml><?xml version="1.0" encoding="utf-8"?>
<sst xmlns="http://schemas.openxmlformats.org/spreadsheetml/2006/main" count="468" uniqueCount="152">
  <si>
    <t>h</t>
  </si>
  <si>
    <t>Tp Width</t>
  </si>
  <si>
    <t>Btm Width</t>
  </si>
  <si>
    <t>Slab Depth</t>
  </si>
  <si>
    <t>Heel Width</t>
  </si>
  <si>
    <t>Toe Width</t>
  </si>
  <si>
    <t>0.3m</t>
  </si>
  <si>
    <t>H/12</t>
  </si>
  <si>
    <t>Location</t>
  </si>
  <si>
    <t>Conditions</t>
  </si>
  <si>
    <t>Φ (°)</t>
  </si>
  <si>
    <t>H (ft)</t>
  </si>
  <si>
    <t>Ft</t>
  </si>
  <si>
    <t>Assumption (ft)</t>
  </si>
  <si>
    <t>Overturning</t>
  </si>
  <si>
    <t>Ka</t>
  </si>
  <si>
    <t>h'</t>
  </si>
  <si>
    <t>Moment Arm (ft)</t>
  </si>
  <si>
    <r>
      <t>Volume (ft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</si>
  <si>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Weight (lb)</t>
  </si>
  <si>
    <t>γ (psf)</t>
  </si>
  <si>
    <t>W1</t>
  </si>
  <si>
    <t>W2</t>
  </si>
  <si>
    <t>W3</t>
  </si>
  <si>
    <t>W</t>
  </si>
  <si>
    <t>W4</t>
  </si>
  <si>
    <t>Surcharge (lb/ft)</t>
  </si>
  <si>
    <t>y</t>
  </si>
  <si>
    <t>P(lbs)</t>
  </si>
  <si>
    <t>Mo (lb.ft)</t>
  </si>
  <si>
    <t>Moment (lb.ft)</t>
  </si>
  <si>
    <r>
      <t>γ</t>
    </r>
    <r>
      <rPr>
        <b/>
        <vertAlign val="subscript"/>
        <sz val="11"/>
        <color theme="1"/>
        <rFont val="Calibri"/>
        <family val="2"/>
        <scheme val="minor"/>
      </rPr>
      <t>soil</t>
    </r>
    <r>
      <rPr>
        <b/>
        <sz val="11"/>
        <color theme="1"/>
        <rFont val="Calibri"/>
        <family val="2"/>
        <scheme val="minor"/>
      </rPr>
      <t xml:space="preserve"> (psf)</t>
    </r>
  </si>
  <si>
    <r>
      <t>γ</t>
    </r>
    <r>
      <rPr>
        <b/>
        <vertAlign val="subscript"/>
        <sz val="11"/>
        <color theme="1"/>
        <rFont val="Calibri"/>
        <family val="2"/>
        <scheme val="minor"/>
      </rPr>
      <t>conc</t>
    </r>
    <r>
      <rPr>
        <b/>
        <sz val="11"/>
        <color theme="1"/>
        <rFont val="Calibri"/>
        <family val="2"/>
        <scheme val="minor"/>
      </rPr>
      <t xml:space="preserve"> (psf)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</si>
  <si>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 (psf)</t>
    </r>
  </si>
  <si>
    <t>SLIDING</t>
  </si>
  <si>
    <t>BEARING</t>
  </si>
  <si>
    <t>q1</t>
  </si>
  <si>
    <t>a &gt; l/3</t>
  </si>
  <si>
    <t>if</t>
  </si>
  <si>
    <t>q2</t>
  </si>
  <si>
    <t>a &lt; l/3</t>
  </si>
  <si>
    <t>a = l/3</t>
  </si>
  <si>
    <t>Condition</t>
  </si>
  <si>
    <t>OVERTURNING</t>
  </si>
  <si>
    <t>40% of H</t>
  </si>
  <si>
    <t>60% of H</t>
  </si>
  <si>
    <t>7% of H</t>
  </si>
  <si>
    <t>10% of H</t>
  </si>
  <si>
    <t>b/3</t>
  </si>
  <si>
    <t>2b/3</t>
  </si>
  <si>
    <t>Btm of Stem</t>
  </si>
  <si>
    <t>12% of H</t>
  </si>
  <si>
    <t>REINFORCEMENT</t>
  </si>
  <si>
    <t>STEM DESIGN</t>
  </si>
  <si>
    <t>H1 (lbs)</t>
  </si>
  <si>
    <t>H2 (lbs)</t>
  </si>
  <si>
    <t>P (lbs)</t>
  </si>
  <si>
    <t>Safety Factor</t>
  </si>
  <si>
    <t>Mu (lb.ft)</t>
  </si>
  <si>
    <t>fy (psi)</t>
  </si>
  <si>
    <t>fc' (psi)</t>
  </si>
  <si>
    <t>ρ</t>
  </si>
  <si>
    <t>Cover (inch)</t>
  </si>
  <si>
    <t>d (in)</t>
  </si>
  <si>
    <t>b (in)</t>
  </si>
  <si>
    <r>
      <t>As (in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/ft)</t>
    </r>
  </si>
  <si>
    <t>Metric Bar No.</t>
  </si>
  <si>
    <t>Inch-Pound Bar No.</t>
  </si>
  <si>
    <t>Diameter (inch)</t>
  </si>
  <si>
    <t>Diameter (mm)</t>
  </si>
  <si>
    <t>Area (mm²)</t>
  </si>
  <si>
    <t>Area (inch²)</t>
  </si>
  <si>
    <t>#2</t>
  </si>
  <si>
    <t>#3</t>
  </si>
  <si>
    <t>#4</t>
  </si>
  <si>
    <t>#5</t>
  </si>
  <si>
    <t>#6</t>
  </si>
  <si>
    <t>#7</t>
  </si>
  <si>
    <t>#8</t>
  </si>
  <si>
    <t>#10</t>
  </si>
  <si>
    <t>#13</t>
  </si>
  <si>
    <t>#16</t>
  </si>
  <si>
    <r>
      <t>AST (in</t>
    </r>
    <r>
      <rPr>
        <b/>
        <vertAlign val="super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)</t>
    </r>
  </si>
  <si>
    <t>Bar (#)</t>
  </si>
  <si>
    <t>Vertical Reinforcement</t>
  </si>
  <si>
    <t>Hoizontal Reinforcement</t>
  </si>
  <si>
    <t>As = 0.0025 x b x d</t>
  </si>
  <si>
    <t>Outside (2/3)</t>
  </si>
  <si>
    <t>Inside (1/3)</t>
  </si>
  <si>
    <t>Spacing (in)</t>
  </si>
  <si>
    <t>SHEAR CHECK</t>
  </si>
  <si>
    <t>Vu (lbs)</t>
  </si>
  <si>
    <t>ΦVc</t>
  </si>
  <si>
    <t>HEEL DESIGN</t>
  </si>
  <si>
    <t>Self Weight (lbs)</t>
  </si>
  <si>
    <t>Soil Weight (lbs)</t>
  </si>
  <si>
    <r>
      <t>Vu</t>
    </r>
    <r>
      <rPr>
        <b/>
        <vertAlign val="subscript"/>
        <sz val="11"/>
        <color theme="1"/>
        <rFont val="Calibri"/>
        <family val="2"/>
        <scheme val="minor"/>
      </rPr>
      <t>factored</t>
    </r>
    <r>
      <rPr>
        <b/>
        <sz val="11"/>
        <color theme="1"/>
        <rFont val="Calibri"/>
        <family val="2"/>
        <scheme val="minor"/>
      </rPr>
      <t xml:space="preserve"> (lbs)</t>
    </r>
  </si>
  <si>
    <t>Cover (in)</t>
  </si>
  <si>
    <t>ΦVc (lbs)</t>
  </si>
  <si>
    <t>200/fy</t>
  </si>
  <si>
    <t>3√fc'/fy</t>
  </si>
  <si>
    <r>
      <t>ρ</t>
    </r>
    <r>
      <rPr>
        <b/>
        <vertAlign val="subscript"/>
        <sz val="11"/>
        <color theme="1"/>
        <rFont val="Calibri"/>
        <family val="2"/>
        <scheme val="minor"/>
      </rPr>
      <t>min</t>
    </r>
  </si>
  <si>
    <r>
      <t>As (in</t>
    </r>
    <r>
      <rPr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/ft)</t>
    </r>
  </si>
  <si>
    <t>Reinforcement</t>
  </si>
  <si>
    <t>a (ft)</t>
  </si>
  <si>
    <t>l/3 (ft)</t>
  </si>
  <si>
    <t>q1 (psf)</t>
  </si>
  <si>
    <t>q2 (psf)</t>
  </si>
  <si>
    <t>q (psf)</t>
  </si>
  <si>
    <t>TOE DESIGN</t>
  </si>
  <si>
    <t>Vertical Reinforcement (Inside)</t>
  </si>
  <si>
    <t>Vertical Reinforcement (Outside)</t>
  </si>
  <si>
    <t>As = 0.0015 x b x d</t>
  </si>
  <si>
    <t>d(in)</t>
  </si>
  <si>
    <t>TOE &amp; HEEL Temp,Shrinkage REINFRCEMENT</t>
  </si>
  <si>
    <t>CONDITION</t>
  </si>
  <si>
    <t>STEEL</t>
  </si>
  <si>
    <t>Factor</t>
  </si>
  <si>
    <t>40ksi</t>
  </si>
  <si>
    <t>60ksi</t>
  </si>
  <si>
    <t>DESIGN</t>
  </si>
  <si>
    <t>Inside</t>
  </si>
  <si>
    <t>Outside</t>
  </si>
  <si>
    <t xml:space="preserve">Inside </t>
  </si>
  <si>
    <t xml:space="preserve">Top </t>
  </si>
  <si>
    <t>Bottom</t>
  </si>
  <si>
    <t>Main</t>
  </si>
  <si>
    <t>Temp or Shrinkage</t>
  </si>
  <si>
    <t>TOE</t>
  </si>
  <si>
    <t>STEM</t>
  </si>
  <si>
    <t>Horizontal Reinforcement</t>
  </si>
  <si>
    <t>HEEL</t>
  </si>
  <si>
    <t>Width (ft)</t>
  </si>
  <si>
    <t>Depth (ft)</t>
  </si>
  <si>
    <t>When a &gt; l/3 &amp; a = l/3</t>
  </si>
  <si>
    <t>When a &lt;  l/3</t>
  </si>
  <si>
    <t>When l = 3a</t>
  </si>
  <si>
    <t>l = 3a</t>
  </si>
  <si>
    <t>DESIGN SATISIFY?</t>
  </si>
  <si>
    <t>CHECKS</t>
  </si>
  <si>
    <t>HEEL AND TOE</t>
  </si>
  <si>
    <t>Shear Key Depth</t>
  </si>
  <si>
    <t>W5</t>
  </si>
  <si>
    <t>TOE &amp; HEEL TEMPERATURE REINFRCEMENT</t>
  </si>
  <si>
    <t>Height Retained</t>
  </si>
  <si>
    <t>Under Soil</t>
  </si>
  <si>
    <t>Dist From Stem</t>
  </si>
  <si>
    <t>Height of Stem</t>
  </si>
  <si>
    <t>d (ft)</t>
  </si>
  <si>
    <r>
      <t>ρ</t>
    </r>
    <r>
      <rPr>
        <b/>
        <vertAlign val="subscript"/>
        <sz val="11"/>
        <color theme="1"/>
        <rFont val="Calibri"/>
        <family val="2"/>
        <scheme val="minor"/>
      </rPr>
      <t>actual</t>
    </r>
  </si>
  <si>
    <t>CURTAILMENT</t>
  </si>
  <si>
    <t>5 intervals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</si>
</sst>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"/>
    <numFmt numFmtId="167" formatCode="0.0000"/>
  </numFmts>
  <fonts count="3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i/>
      <u/>
      <sz val="11"/>
      <color rgb="FF00206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11"/>
      <color rgb="FF7030A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5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ck">
        <color auto="1"/>
      </right>
      <top/>
      <bottom/>
      <diagonal/>
    </border>
    <border diagonalUp="1">
      <left/>
      <right/>
      <top/>
      <bottom/>
      <diagonal style="thick">
        <color auto="1"/>
      </diagonal>
    </border>
    <border diagonalUp="1">
      <left/>
      <right/>
      <top/>
      <bottom style="thick">
        <color auto="1"/>
      </bottom>
      <diagonal style="thick">
        <color auto="1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 diagonalUp="1">
      <left/>
      <right/>
      <top/>
      <bottom/>
      <diagonal style="medium">
        <color auto="1"/>
      </diagonal>
    </border>
    <border diagonalUp="1">
      <left style="thick">
        <color auto="1"/>
      </left>
      <right/>
      <top/>
      <bottom/>
      <diagonal style="medium">
        <color auto="1"/>
      </diagonal>
    </border>
    <border diagonalUp="1">
      <left/>
      <right/>
      <top style="thick">
        <color auto="1"/>
      </top>
      <bottom/>
      <diagonal style="medium">
        <color auto="1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9" fillId="0" borderId="48" applyNumberFormat="0" applyFill="0" applyAlignment="0" applyProtection="0"/>
  </cellStyleXfs>
  <cellXfs count="332">
    <xf numFmtId="0" fontId="0" fillId="0" borderId="0" xfId="0"/>
    <xf numFmtId="0" fontId="1" fillId="0" borderId="14" xfId="0" applyFont="1" applyBorder="1" applyProtection="1">
      <protection locked="0"/>
    </xf>
    <xf numFmtId="0" fontId="1" fillId="0" borderId="17" xfId="0" applyFont="1" applyBorder="1" applyProtection="1">
      <protection locked="0"/>
    </xf>
    <xf numFmtId="0" fontId="14" fillId="0" borderId="15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26" fillId="0" borderId="8" xfId="0" applyFont="1" applyBorder="1" applyAlignment="1" applyProtection="1">
      <alignment horizontal="center" vertical="center"/>
      <protection locked="0"/>
    </xf>
    <xf numFmtId="0" fontId="23" fillId="0" borderId="8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right" vertical="center"/>
      <protection locked="0"/>
    </xf>
    <xf numFmtId="2" fontId="0" fillId="0" borderId="45" xfId="0" applyNumberForma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4" xfId="0" applyBorder="1"/>
    <xf numFmtId="0" fontId="0" fillId="0" borderId="2" xfId="0" applyBorder="1"/>
    <xf numFmtId="0" fontId="1" fillId="0" borderId="0" xfId="0" applyFont="1" applyAlignment="1">
      <alignment vertical="center"/>
    </xf>
    <xf numFmtId="0" fontId="0" fillId="0" borderId="36" xfId="0" applyBorder="1"/>
    <xf numFmtId="0" fontId="0" fillId="0" borderId="3" xfId="0" applyBorder="1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2" fillId="0" borderId="13" xfId="0" applyFont="1" applyBorder="1"/>
    <xf numFmtId="164" fontId="0" fillId="3" borderId="0" xfId="0" applyNumberFormat="1" applyFill="1"/>
    <xf numFmtId="0" fontId="2" fillId="0" borderId="15" xfId="0" applyFont="1" applyBorder="1"/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2" fontId="0" fillId="0" borderId="11" xfId="0" applyNumberFormat="1" applyBorder="1"/>
    <xf numFmtId="0" fontId="0" fillId="0" borderId="0" xfId="0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" fontId="0" fillId="0" borderId="16" xfId="0" applyNumberFormat="1" applyBorder="1"/>
    <xf numFmtId="2" fontId="0" fillId="0" borderId="35" xfId="0" applyNumberFormat="1" applyBorder="1" applyAlignment="1">
      <alignment horizontal="center" vertical="center"/>
    </xf>
    <xf numFmtId="165" fontId="0" fillId="0" borderId="14" xfId="0" applyNumberFormat="1" applyBorder="1"/>
    <xf numFmtId="165" fontId="0" fillId="0" borderId="17" xfId="0" applyNumberFormat="1" applyBorder="1"/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8" xfId="0" applyNumberFormat="1" applyBorder="1"/>
    <xf numFmtId="0" fontId="0" fillId="0" borderId="8" xfId="0" applyBorder="1"/>
    <xf numFmtId="165" fontId="0" fillId="0" borderId="8" xfId="0" applyNumberFormat="1" applyBorder="1"/>
    <xf numFmtId="2" fontId="2" fillId="2" borderId="9" xfId="0" applyNumberFormat="1" applyFont="1" applyFill="1" applyBorder="1"/>
    <xf numFmtId="165" fontId="2" fillId="2" borderId="9" xfId="0" applyNumberFormat="1" applyFont="1" applyFill="1" applyBorder="1"/>
    <xf numFmtId="0" fontId="17" fillId="0" borderId="13" xfId="0" applyFon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15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2" fontId="0" fillId="0" borderId="53" xfId="0" applyNumberFormat="1" applyBorder="1" applyAlignment="1">
      <alignment horizontal="center" vertical="center"/>
    </xf>
    <xf numFmtId="0" fontId="2" fillId="0" borderId="8" xfId="0" applyFont="1" applyBorder="1"/>
    <xf numFmtId="0" fontId="24" fillId="0" borderId="32" xfId="0" applyFont="1" applyBorder="1" applyAlignment="1">
      <alignment horizontal="center" vertical="center"/>
    </xf>
    <xf numFmtId="0" fontId="2" fillId="0" borderId="10" xfId="0" applyFont="1" applyBorder="1"/>
    <xf numFmtId="165" fontId="0" fillId="0" borderId="11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2" fillId="0" borderId="0" xfId="0" applyFont="1" applyAlignment="1">
      <alignment vertical="center"/>
    </xf>
    <xf numFmtId="165" fontId="0" fillId="0" borderId="14" xfId="0" applyNumberForma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165" fontId="0" fillId="0" borderId="57" xfId="0" applyNumberFormat="1" applyBorder="1"/>
    <xf numFmtId="165" fontId="0" fillId="0" borderId="16" xfId="0" applyNumberFormat="1" applyBorder="1" applyAlignment="1">
      <alignment horizontal="center" vertical="center"/>
    </xf>
    <xf numFmtId="165" fontId="25" fillId="0" borderId="17" xfId="0" applyNumberFormat="1" applyFont="1" applyBorder="1" applyAlignment="1">
      <alignment horizontal="center" vertical="center"/>
    </xf>
    <xf numFmtId="0" fontId="0" fillId="0" borderId="12" xfId="0" applyBorder="1"/>
    <xf numFmtId="0" fontId="0" fillId="0" borderId="5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14" xfId="0" applyNumberFormat="1" applyBorder="1"/>
    <xf numFmtId="167" fontId="0" fillId="0" borderId="8" xfId="0" applyNumberFormat="1" applyBorder="1"/>
    <xf numFmtId="2" fontId="0" fillId="0" borderId="17" xfId="0" applyNumberFormat="1" applyBorder="1"/>
    <xf numFmtId="164" fontId="21" fillId="0" borderId="45" xfId="0" applyNumberFormat="1" applyFont="1" applyBorder="1" applyAlignment="1">
      <alignment horizontal="center" vertical="center"/>
    </xf>
    <xf numFmtId="0" fontId="11" fillId="0" borderId="10" xfId="1" applyFont="1" applyFill="1" applyBorder="1" applyAlignment="1" applyProtection="1">
      <alignment horizontal="center" vertical="center"/>
    </xf>
    <xf numFmtId="0" fontId="11" fillId="0" borderId="11" xfId="1" applyFont="1" applyFill="1" applyBorder="1" applyAlignment="1" applyProtection="1">
      <alignment horizontal="center" vertical="center"/>
    </xf>
    <xf numFmtId="0" fontId="2" fillId="0" borderId="12" xfId="0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165" fontId="15" fillId="0" borderId="17" xfId="0" applyNumberFormat="1" applyFont="1" applyBorder="1" applyAlignment="1">
      <alignment horizontal="center" vertical="center"/>
    </xf>
    <xf numFmtId="0" fontId="11" fillId="2" borderId="10" xfId="1" applyFont="1" applyFill="1" applyBorder="1" applyAlignment="1" applyProtection="1">
      <alignment horizontal="center" vertical="center"/>
    </xf>
    <xf numFmtId="0" fontId="11" fillId="2" borderId="11" xfId="1" applyFont="1" applyFill="1" applyBorder="1" applyAlignment="1" applyProtection="1">
      <alignment horizontal="center" vertical="center"/>
    </xf>
    <xf numFmtId="164" fontId="13" fillId="0" borderId="16" xfId="0" applyNumberFormat="1" applyFont="1" applyBorder="1" applyAlignment="1">
      <alignment horizontal="center" vertical="center"/>
    </xf>
    <xf numFmtId="0" fontId="11" fillId="2" borderId="58" xfId="1" applyFont="1" applyFill="1" applyBorder="1" applyAlignment="1" applyProtection="1">
      <alignment horizontal="center" vertical="center"/>
    </xf>
    <xf numFmtId="0" fontId="11" fillId="2" borderId="21" xfId="1" applyFont="1" applyFill="1" applyBorder="1" applyAlignment="1" applyProtection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1" fillId="0" borderId="58" xfId="1" applyFont="1" applyFill="1" applyBorder="1" applyAlignment="1" applyProtection="1">
      <alignment horizontal="center" vertical="center"/>
    </xf>
    <xf numFmtId="0" fontId="11" fillId="0" borderId="21" xfId="1" applyFont="1" applyFill="1" applyBorder="1" applyAlignment="1" applyProtection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2" borderId="10" xfId="0" applyFont="1" applyFill="1" applyBorder="1"/>
    <xf numFmtId="0" fontId="2" fillId="2" borderId="15" xfId="0" applyFont="1" applyFill="1" applyBorder="1"/>
    <xf numFmtId="0" fontId="0" fillId="0" borderId="17" xfId="0" applyBorder="1"/>
    <xf numFmtId="0" fontId="2" fillId="2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2" fontId="17" fillId="0" borderId="8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0" fillId="0" borderId="14" xfId="0" applyBorder="1"/>
    <xf numFmtId="0" fontId="2" fillId="2" borderId="15" xfId="0" applyFont="1" applyFill="1" applyBorder="1" applyAlignment="1">
      <alignment horizontal="left" vertical="center"/>
    </xf>
    <xf numFmtId="0" fontId="2" fillId="0" borderId="43" xfId="0" applyFont="1" applyBorder="1"/>
    <xf numFmtId="165" fontId="25" fillId="0" borderId="45" xfId="0" applyNumberFormat="1" applyFont="1" applyBorder="1" applyAlignment="1">
      <alignment horizontal="right" vertical="center"/>
    </xf>
    <xf numFmtId="166" fontId="0" fillId="0" borderId="45" xfId="0" applyNumberFormat="1" applyBorder="1"/>
    <xf numFmtId="0" fontId="2" fillId="0" borderId="11" xfId="0" applyFont="1" applyBorder="1"/>
    <xf numFmtId="167" fontId="0" fillId="0" borderId="12" xfId="0" applyNumberFormat="1" applyBorder="1"/>
    <xf numFmtId="0" fontId="2" fillId="0" borderId="16" xfId="0" applyFont="1" applyBorder="1"/>
    <xf numFmtId="167" fontId="0" fillId="0" borderId="17" xfId="0" applyNumberFormat="1" applyBorder="1"/>
    <xf numFmtId="0" fontId="1" fillId="0" borderId="26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26" xfId="0" applyBorder="1"/>
    <xf numFmtId="0" fontId="1" fillId="0" borderId="0" xfId="0" applyFont="1" applyAlignment="1">
      <alignment horizontal="center"/>
    </xf>
    <xf numFmtId="0" fontId="0" fillId="0" borderId="59" xfId="0" applyBorder="1"/>
    <xf numFmtId="2" fontId="28" fillId="0" borderId="45" xfId="0" applyNumberFormat="1" applyFont="1" applyBorder="1"/>
    <xf numFmtId="2" fontId="2" fillId="0" borderId="45" xfId="0" applyNumberFormat="1" applyFont="1" applyBorder="1"/>
    <xf numFmtId="0" fontId="0" fillId="0" borderId="60" xfId="0" applyBorder="1"/>
    <xf numFmtId="0" fontId="17" fillId="6" borderId="0" xfId="0" applyFont="1" applyFill="1"/>
    <xf numFmtId="2" fontId="17" fillId="6" borderId="59" xfId="0" applyNumberFormat="1" applyFont="1" applyFill="1" applyBorder="1" applyAlignment="1">
      <alignment horizontal="left"/>
    </xf>
    <xf numFmtId="1" fontId="0" fillId="0" borderId="0" xfId="0" applyNumberFormat="1"/>
    <xf numFmtId="0" fontId="0" fillId="0" borderId="61" xfId="0" applyBorder="1"/>
    <xf numFmtId="0" fontId="17" fillId="6" borderId="0" xfId="0" applyFont="1" applyFill="1" applyAlignment="1">
      <alignment horizontal="center"/>
    </xf>
    <xf numFmtId="0" fontId="17" fillId="6" borderId="27" xfId="0" applyFont="1" applyFill="1" applyBorder="1"/>
    <xf numFmtId="1" fontId="17" fillId="6" borderId="56" xfId="0" applyNumberFormat="1" applyFont="1" applyFill="1" applyBorder="1"/>
    <xf numFmtId="1" fontId="0" fillId="0" borderId="56" xfId="0" applyNumberFormat="1" applyBorder="1"/>
    <xf numFmtId="0" fontId="0" fillId="0" borderId="56" xfId="0" applyBorder="1"/>
    <xf numFmtId="0" fontId="0" fillId="0" borderId="28" xfId="0" applyBorder="1"/>
    <xf numFmtId="0" fontId="0" fillId="0" borderId="0" xfId="0" applyAlignment="1">
      <alignment horizontal="center"/>
    </xf>
    <xf numFmtId="0" fontId="0" fillId="0" borderId="62" xfId="0" applyBorder="1"/>
    <xf numFmtId="0" fontId="0" fillId="0" borderId="36" xfId="0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7" fillId="6" borderId="6" xfId="0" applyFont="1" applyFill="1" applyBorder="1"/>
    <xf numFmtId="1" fontId="17" fillId="6" borderId="6" xfId="0" applyNumberFormat="1" applyFont="1" applyFill="1" applyBorder="1"/>
    <xf numFmtId="1" fontId="0" fillId="0" borderId="6" xfId="0" applyNumberFormat="1" applyBorder="1"/>
    <xf numFmtId="0" fontId="0" fillId="0" borderId="49" xfId="0" applyBorder="1"/>
    <xf numFmtId="0" fontId="2" fillId="0" borderId="8" xfId="0" applyFont="1" applyBorder="1" applyAlignment="1">
      <alignment horizontal="center" vertical="center"/>
    </xf>
    <xf numFmtId="0" fontId="30" fillId="0" borderId="0" xfId="0" applyFont="1"/>
    <xf numFmtId="0" fontId="2" fillId="0" borderId="8" xfId="0" applyFont="1" applyBorder="1" applyAlignment="1">
      <alignment horizontal="center"/>
    </xf>
    <xf numFmtId="2" fontId="0" fillId="0" borderId="13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64" xfId="0" applyBorder="1"/>
    <xf numFmtId="0" fontId="0" fillId="0" borderId="16" xfId="0" applyBorder="1"/>
    <xf numFmtId="165" fontId="0" fillId="0" borderId="16" xfId="0" applyNumberFormat="1" applyBorder="1"/>
    <xf numFmtId="2" fontId="2" fillId="2" borderId="33" xfId="0" applyNumberFormat="1" applyFont="1" applyFill="1" applyBorder="1"/>
    <xf numFmtId="165" fontId="2" fillId="2" borderId="33" xfId="0" applyNumberFormat="1" applyFont="1" applyFill="1" applyBorder="1"/>
    <xf numFmtId="165" fontId="0" fillId="0" borderId="12" xfId="0" applyNumberFormat="1" applyBorder="1"/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30" fillId="0" borderId="0" xfId="0" applyFont="1" applyAlignment="1">
      <alignment horizontal="left"/>
    </xf>
    <xf numFmtId="0" fontId="1" fillId="0" borderId="12" xfId="0" applyFont="1" applyBorder="1"/>
    <xf numFmtId="0" fontId="1" fillId="0" borderId="14" xfId="0" applyFont="1" applyBorder="1"/>
    <xf numFmtId="167" fontId="0" fillId="0" borderId="8" xfId="0" applyNumberForma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67" fontId="0" fillId="0" borderId="16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11" fillId="0" borderId="44" xfId="1" applyFont="1" applyFill="1" applyBorder="1" applyAlignment="1" applyProtection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2" fontId="0" fillId="0" borderId="2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14" fillId="0" borderId="21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2" fontId="13" fillId="0" borderId="21" xfId="0" applyNumberFormat="1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2" fontId="13" fillId="0" borderId="16" xfId="0" applyNumberFormat="1" applyFon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167" fontId="0" fillId="0" borderId="16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0" fillId="6" borderId="0" xfId="0" applyNumberFormat="1" applyFill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5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9" xfId="0" applyFont="1" applyBorder="1" applyAlignment="1">
      <alignment horizontal="center"/>
    </xf>
    <xf numFmtId="2" fontId="0" fillId="6" borderId="6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165" fontId="15" fillId="0" borderId="14" xfId="0" applyNumberFormat="1" applyFont="1" applyBorder="1" applyAlignment="1">
      <alignment horizontal="center" vertical="center"/>
    </xf>
    <xf numFmtId="165" fontId="15" fillId="0" borderId="17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0" fontId="33" fillId="7" borderId="24" xfId="0" applyFont="1" applyFill="1" applyBorder="1" applyAlignment="1">
      <alignment horizontal="center" vertical="center"/>
    </xf>
    <xf numFmtId="0" fontId="33" fillId="7" borderId="55" xfId="0" applyFont="1" applyFill="1" applyBorder="1" applyAlignment="1">
      <alignment horizontal="center" vertical="center"/>
    </xf>
    <xf numFmtId="0" fontId="33" fillId="7" borderId="25" xfId="0" applyFont="1" applyFill="1" applyBorder="1" applyAlignment="1">
      <alignment horizontal="center" vertical="center"/>
    </xf>
    <xf numFmtId="0" fontId="33" fillId="7" borderId="27" xfId="0" applyFont="1" applyFill="1" applyBorder="1" applyAlignment="1">
      <alignment horizontal="center" vertical="center"/>
    </xf>
    <xf numFmtId="0" fontId="33" fillId="7" borderId="56" xfId="0" applyFont="1" applyFill="1" applyBorder="1" applyAlignment="1">
      <alignment horizontal="center" vertical="center"/>
    </xf>
    <xf numFmtId="0" fontId="33" fillId="7" borderId="28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0" fontId="2" fillId="0" borderId="34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0" fillId="4" borderId="24" xfId="0" applyFont="1" applyFill="1" applyBorder="1" applyAlignment="1">
      <alignment horizontal="center" vertical="center"/>
    </xf>
    <xf numFmtId="0" fontId="20" fillId="4" borderId="55" xfId="0" applyFont="1" applyFill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0" fontId="20" fillId="4" borderId="27" xfId="0" applyFont="1" applyFill="1" applyBorder="1" applyAlignment="1">
      <alignment horizontal="center" vertical="center"/>
    </xf>
    <xf numFmtId="0" fontId="20" fillId="4" borderId="56" xfId="0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7" xfId="0" applyBorder="1" applyAlignment="1">
      <alignment horizontal="center"/>
    </xf>
    <xf numFmtId="0" fontId="19" fillId="2" borderId="40" xfId="0" applyFont="1" applyFill="1" applyBorder="1" applyAlignment="1">
      <alignment horizontal="center"/>
    </xf>
    <xf numFmtId="0" fontId="19" fillId="2" borderId="46" xfId="0" applyFont="1" applyFill="1" applyBorder="1" applyAlignment="1">
      <alignment horizontal="center"/>
    </xf>
    <xf numFmtId="0" fontId="19" fillId="2" borderId="49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23" xfId="0" applyBorder="1" applyAlignment="1">
      <alignment horizontal="center"/>
    </xf>
    <xf numFmtId="2" fontId="0" fillId="0" borderId="30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10" fillId="2" borderId="31" xfId="0" applyFont="1" applyFill="1" applyBorder="1" applyAlignment="1">
      <alignment horizontal="center"/>
    </xf>
    <xf numFmtId="0" fontId="10" fillId="2" borderId="4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2" fillId="5" borderId="46" xfId="0" applyFont="1" applyFill="1" applyBorder="1" applyAlignment="1">
      <alignment horizontal="center" vertical="center"/>
    </xf>
    <xf numFmtId="0" fontId="2" fillId="5" borderId="49" xfId="0" applyFont="1" applyFill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164" fontId="15" fillId="0" borderId="39" xfId="0" applyNumberFormat="1" applyFont="1" applyBorder="1" applyAlignment="1">
      <alignment horizontal="center" vertical="center"/>
    </xf>
    <xf numFmtId="164" fontId="15" fillId="0" borderId="35" xfId="0" applyNumberFormat="1" applyFont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2" borderId="10" xfId="1" applyFont="1" applyFill="1" applyBorder="1" applyAlignment="1" applyProtection="1">
      <alignment horizontal="center" vertical="center"/>
    </xf>
    <xf numFmtId="0" fontId="11" fillId="2" borderId="13" xfId="1" applyFont="1" applyFill="1" applyBorder="1" applyAlignment="1" applyProtection="1">
      <alignment horizontal="center" vertical="center"/>
    </xf>
    <xf numFmtId="0" fontId="16" fillId="0" borderId="12" xfId="1" applyFont="1" applyFill="1" applyBorder="1" applyAlignment="1" applyProtection="1">
      <alignment horizontal="center" vertical="center"/>
    </xf>
    <xf numFmtId="0" fontId="16" fillId="0" borderId="14" xfId="1" applyFont="1" applyFill="1" applyBorder="1" applyAlignment="1" applyProtection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65" fontId="0" fillId="0" borderId="58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1" fillId="0" borderId="56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2" fontId="1" fillId="0" borderId="56" xfId="0" applyNumberFormat="1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67" fontId="17" fillId="0" borderId="26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2" fillId="2" borderId="63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7" fillId="2" borderId="10" xfId="0" applyFont="1" applyFill="1" applyBorder="1" applyAlignment="1">
      <alignment horizontal="center"/>
    </xf>
    <xf numFmtId="0" fontId="27" fillId="2" borderId="11" xfId="0" applyFont="1" applyFill="1" applyBorder="1" applyAlignment="1">
      <alignment horizontal="center"/>
    </xf>
    <xf numFmtId="0" fontId="27" fillId="2" borderId="1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53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30" fillId="0" borderId="0" xfId="0" applyFont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2" fillId="0" borderId="49" xfId="0" applyFont="1" applyBorder="1" applyAlignment="1">
      <alignment horizontal="center" vertical="center"/>
    </xf>
    <xf numFmtId="167" fontId="31" fillId="0" borderId="26" xfId="0" applyNumberFormat="1" applyFont="1" applyBorder="1" applyAlignment="1">
      <alignment horizontal="center" vertical="center"/>
    </xf>
    <xf numFmtId="0" fontId="27" fillId="2" borderId="43" xfId="0" applyFont="1" applyFill="1" applyBorder="1" applyAlignment="1">
      <alignment horizontal="center"/>
    </xf>
    <xf numFmtId="0" fontId="27" fillId="2" borderId="44" xfId="0" applyFont="1" applyFill="1" applyBorder="1" applyAlignment="1">
      <alignment horizontal="center"/>
    </xf>
    <xf numFmtId="0" fontId="27" fillId="2" borderId="45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</cellXfs>
  <cellStyles count="2">
    <cellStyle name="Heading 2" xfId="1" builtinId="17"/>
    <cellStyle name="Normal" xfId="0" builtinId="0"/>
  </cellStyles>
  <dxfs count="66">
    <dxf>
      <font>
        <color theme="0"/>
      </font>
      <fill>
        <patternFill patternType="solid">
          <fgColor theme="0"/>
          <bgColor theme="0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theme="0"/>
          <bgColor theme="0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335018</xdr:colOff>
      <xdr:row>3</xdr:row>
      <xdr:rowOff>32844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8C07C5F-ED0B-4BEC-8A45-291BA5FAF48D}"/>
                </a:ext>
              </a:extLst>
            </xdr:cNvPr>
            <xdr:cNvSpPr txBox="1"/>
          </xdr:nvSpPr>
          <xdr:spPr>
            <a:xfrm>
              <a:off x="9459968" y="1071069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W1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8C07C5F-ED0B-4BEC-8A45-291BA5FAF48D}"/>
                </a:ext>
              </a:extLst>
            </xdr:cNvPr>
            <xdr:cNvSpPr txBox="1"/>
          </xdr:nvSpPr>
          <xdr:spPr>
            <a:xfrm>
              <a:off x="9459968" y="1071069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W1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15</xdr:col>
      <xdr:colOff>21022</xdr:colOff>
      <xdr:row>5</xdr:row>
      <xdr:rowOff>47296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A80A61B-9ABB-4D37-888A-06E9C38246BC}"/>
                </a:ext>
              </a:extLst>
            </xdr:cNvPr>
            <xdr:cNvSpPr txBox="1"/>
          </xdr:nvSpPr>
          <xdr:spPr>
            <a:xfrm>
              <a:off x="10488997" y="2133271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W3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A80A61B-9ABB-4D37-888A-06E9C38246BC}"/>
                </a:ext>
              </a:extLst>
            </xdr:cNvPr>
            <xdr:cNvSpPr txBox="1"/>
          </xdr:nvSpPr>
          <xdr:spPr>
            <a:xfrm>
              <a:off x="10488997" y="2133271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W3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26101</xdr:colOff>
      <xdr:row>4</xdr:row>
      <xdr:rowOff>122130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C1FF338-84CD-41D5-87C2-9E68FD62E48C}"/>
                </a:ext>
              </a:extLst>
            </xdr:cNvPr>
            <xdr:cNvSpPr txBox="1"/>
          </xdr:nvSpPr>
          <xdr:spPr>
            <a:xfrm>
              <a:off x="9151051" y="1684230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W2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C1FF338-84CD-41D5-87C2-9E68FD62E48C}"/>
                </a:ext>
              </a:extLst>
            </xdr:cNvPr>
            <xdr:cNvSpPr txBox="1"/>
          </xdr:nvSpPr>
          <xdr:spPr>
            <a:xfrm>
              <a:off x="9151051" y="1684230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W2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14</xdr:col>
      <xdr:colOff>285094</xdr:colOff>
      <xdr:row>3</xdr:row>
      <xdr:rowOff>68317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D95A032-1661-4344-8054-FFEEB61840F9}"/>
                </a:ext>
              </a:extLst>
            </xdr:cNvPr>
            <xdr:cNvSpPr txBox="1"/>
          </xdr:nvSpPr>
          <xdr:spPr>
            <a:xfrm>
              <a:off x="10305394" y="1106542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W4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D95A032-1661-4344-8054-FFEEB61840F9}"/>
                </a:ext>
              </a:extLst>
            </xdr:cNvPr>
            <xdr:cNvSpPr txBox="1"/>
          </xdr:nvSpPr>
          <xdr:spPr>
            <a:xfrm>
              <a:off x="10305394" y="1106542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W4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7</xdr:col>
      <xdr:colOff>4674</xdr:colOff>
      <xdr:row>52</xdr:row>
      <xdr:rowOff>153866</xdr:rowOff>
    </xdr:from>
    <xdr:ext cx="360933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827C2D-B64C-4647-9B73-4F2052F66E1E}"/>
            </a:ext>
          </a:extLst>
        </xdr:cNvPr>
        <xdr:cNvSpPr txBox="1"/>
      </xdr:nvSpPr>
      <xdr:spPr>
        <a:xfrm>
          <a:off x="6710274" y="12526841"/>
          <a:ext cx="3609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M</a:t>
          </a:r>
          <a:r>
            <a:rPr lang="en-US" sz="1100" b="1" baseline="-25000">
              <a:solidFill>
                <a:srgbClr val="C00000"/>
              </a:solidFill>
            </a:rPr>
            <a:t>R</a:t>
          </a:r>
        </a:p>
      </xdr:txBody>
    </xdr:sp>
    <xdr:clientData/>
  </xdr:oneCellAnchor>
  <xdr:oneCellAnchor>
    <xdr:from>
      <xdr:col>4</xdr:col>
      <xdr:colOff>1098123</xdr:colOff>
      <xdr:row>52</xdr:row>
      <xdr:rowOff>157986</xdr:rowOff>
    </xdr:from>
    <xdr:ext cx="39017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F22FF92-DCAD-4573-BF9A-D072C2E70902}"/>
            </a:ext>
          </a:extLst>
        </xdr:cNvPr>
        <xdr:cNvSpPr txBox="1"/>
      </xdr:nvSpPr>
      <xdr:spPr>
        <a:xfrm>
          <a:off x="4629700" y="11551351"/>
          <a:ext cx="3901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∑W</a:t>
          </a:r>
          <a:endParaRPr lang="en-US" sz="1100" b="1" baseline="-25000">
            <a:solidFill>
              <a:srgbClr val="C00000"/>
            </a:solidFill>
          </a:endParaRPr>
        </a:p>
      </xdr:txBody>
    </xdr:sp>
    <xdr:clientData/>
  </xdr:oneCellAnchor>
  <xdr:oneCellAnchor>
    <xdr:from>
      <xdr:col>6</xdr:col>
      <xdr:colOff>159627</xdr:colOff>
      <xdr:row>42</xdr:row>
      <xdr:rowOff>43027</xdr:rowOff>
    </xdr:from>
    <xdr:ext cx="670183" cy="280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4BEB791-BA4E-4ED8-B7F4-8040FFAAF5EA}"/>
            </a:ext>
          </a:extLst>
        </xdr:cNvPr>
        <xdr:cNvSpPr txBox="1"/>
      </xdr:nvSpPr>
      <xdr:spPr>
        <a:xfrm>
          <a:off x="5779377" y="10453852"/>
          <a:ext cx="67018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rgbClr val="C00000"/>
              </a:solidFill>
            </a:rPr>
            <a:t>M</a:t>
          </a:r>
          <a:r>
            <a:rPr lang="en-US" sz="1200" b="1" baseline="-25000">
              <a:solidFill>
                <a:srgbClr val="C00000"/>
              </a:solidFill>
            </a:rPr>
            <a:t>R </a:t>
          </a:r>
          <a:r>
            <a:rPr lang="en-US" sz="1200" b="1" baseline="0">
              <a:solidFill>
                <a:srgbClr val="C00000"/>
              </a:solidFill>
            </a:rPr>
            <a:t>/M</a:t>
          </a:r>
          <a:r>
            <a:rPr lang="en-US" sz="1200" b="1" baseline="-25000">
              <a:solidFill>
                <a:srgbClr val="C00000"/>
              </a:solidFill>
            </a:rPr>
            <a:t>O</a:t>
          </a:r>
        </a:p>
      </xdr:txBody>
    </xdr:sp>
    <xdr:clientData/>
  </xdr:oneCellAnchor>
  <xdr:oneCellAnchor>
    <xdr:from>
      <xdr:col>2</xdr:col>
      <xdr:colOff>40270</xdr:colOff>
      <xdr:row>58</xdr:row>
      <xdr:rowOff>64262</xdr:rowOff>
    </xdr:from>
    <xdr:ext cx="746808" cy="28020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A7B1950-DB01-4644-93B7-3A8978084E61}"/>
            </a:ext>
          </a:extLst>
        </xdr:cNvPr>
        <xdr:cNvSpPr txBox="1"/>
      </xdr:nvSpPr>
      <xdr:spPr>
        <a:xfrm>
          <a:off x="1697620" y="13608812"/>
          <a:ext cx="74680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rgbClr val="C00000"/>
              </a:solidFill>
            </a:rPr>
            <a:t>0.5</a:t>
          </a:r>
          <a:r>
            <a:rPr lang="en-US" sz="11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∑</a:t>
          </a:r>
          <a:r>
            <a:rPr lang="en-US" sz="12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W</a:t>
          </a:r>
          <a:r>
            <a:rPr lang="en-US" sz="1200" b="1" baseline="0">
              <a:solidFill>
                <a:srgbClr val="C00000"/>
              </a:solidFill>
            </a:rPr>
            <a:t>/P</a:t>
          </a:r>
          <a:endParaRPr lang="en-US" sz="1200" b="1" baseline="-25000">
            <a:solidFill>
              <a:srgbClr val="C00000"/>
            </a:solidFill>
          </a:endParaRPr>
        </a:p>
      </xdr:txBody>
    </xdr:sp>
    <xdr:clientData/>
  </xdr:oneCellAnchor>
  <xdr:twoCellAnchor editAs="oneCell">
    <xdr:from>
      <xdr:col>14</xdr:col>
      <xdr:colOff>101433</xdr:colOff>
      <xdr:row>218</xdr:row>
      <xdr:rowOff>185304</xdr:rowOff>
    </xdr:from>
    <xdr:to>
      <xdr:col>24</xdr:col>
      <xdr:colOff>323198</xdr:colOff>
      <xdr:row>249</xdr:row>
      <xdr:rowOff>64078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8AFFE7C-BBC0-77F6-F6D6-ABF3108A86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52421" y1="33576" x2="54605" y2="33654"/>
                      <a14:foregroundMark x1="46368" y1="30282" x2="33777" y2="29983"/>
                      <a14:foregroundMark x1="51634" y1="48161" x2="58864" y2="48362"/>
                      <a14:foregroundMark x1="62216" y1="48313" x2="65375" y2="48246"/>
                      <a14:foregroundMark x1="50969" y1="51540" x2="53799" y2="50801"/>
                      <a14:foregroundMark x1="53725" y1="50731" x2="52482" y2="51027"/>
                      <a14:foregroundMark x1="41586" y1="41702" x2="41586" y2="41702"/>
                      <a14:foregroundMark x1="41586" y1="41617" x2="40496" y2="41617"/>
                      <a14:foregroundMark x1="37288" y1="41531" x2="37288" y2="41531"/>
                      <a14:foregroundMark x1="31840" y1="41531" x2="31840" y2="41531"/>
                      <a14:foregroundMark x1="28511" y1="41360" x2="28511" y2="41360"/>
                      <a14:foregroundMark x1="28208" y1="41617" x2="35714" y2="41531"/>
                      <a14:foregroundMark x1="35714" y1="41531" x2="37107" y2="41531"/>
                      <a14:foregroundMark x1="22094" y1="57784" x2="22094" y2="57784"/>
                      <a14:foregroundMark x1="25969" y1="57399" x2="25969" y2="57399"/>
                      <a14:foregroundMark x1="23426" y1="56031" x2="23426" y2="56031"/>
                      <a14:foregroundMark x1="20702" y1="55261" x2="20702" y2="55261"/>
                      <a14:foregroundMark x1="16707" y1="55175" x2="16707" y2="55175"/>
                      <a14:foregroundMark x1="11199" y1="55475" x2="11199" y2="55475"/>
                      <a14:foregroundMark x1="12772" y1="55261" x2="12772" y2="55261"/>
                      <a14:foregroundMark x1="59443" y1="48161" x2="63196" y2="48075"/>
                      <a14:foregroundMark x1="74395" y1="56245" x2="74395" y2="56245"/>
                      <a14:foregroundMark x1="74395" y1="57186" x2="74395" y2="57186"/>
                      <a14:foregroundMark x1="74516" y1="57100" x2="74516" y2="57100"/>
                      <a14:foregroundMark x1="74516" y1="57100" x2="74516" y2="57100"/>
                      <a14:foregroundMark x1="80425" y1="55395" x2="80811" y2="55261"/>
                      <a14:foregroundMark x1="77444" y1="56428" x2="78465" y2="56074"/>
                      <a14:foregroundMark x1="74395" y1="57485" x2="77240" y2="56499"/>
                      <a14:foregroundMark x1="80811" y1="55261" x2="85291" y2="55090"/>
                      <a14:foregroundMark x1="54116" y1="48075" x2="61925" y2="48161"/>
                      <a14:foregroundMark x1="61925" y1="48161" x2="65678" y2="47990"/>
                      <a14:foregroundMark x1="73002" y1="64756" x2="76695" y2="64500"/>
                      <a14:foregroundMark x1="24939" y1="64756" x2="18705" y2="66553"/>
                      <a14:foregroundMark x1="64407" y1="48161" x2="58777" y2="47904"/>
                      <a14:foregroundMark x1="36743" y1="41446" x2="28874" y2="41446"/>
                      <a14:foregroundMark x1="74274" y1="55004" x2="80932" y2="54833"/>
                      <a14:foregroundMark x1="80932" y1="54833" x2="80993" y2="54833"/>
                      <a14:foregroundMark x1="76816" y1="55646" x2="80993" y2="55731"/>
                      <a14:foregroundMark x1="82385" y1="55346" x2="84927" y2="55346"/>
                      <a14:foregroundMark x1="74637" y1="55175" x2="73668" y2="57143"/>
                      <a14:foregroundMark x1="54237" y1="33618" x2="62712" y2="33961"/>
                      <a14:foregroundMark x1="52300" y1="50642" x2="56235" y2="49230"/>
                      <a14:foregroundMark x1="63015" y1="33533" x2="57385" y2="33533"/>
                      <a14:foregroundMark x1="76574" y1="67793" x2="83777" y2="67793"/>
                      <a14:foregroundMark x1="83777" y1="67793" x2="86199" y2="67793"/>
                      <a14:foregroundMark x1="18705" y1="67066" x2="13862" y2="66724"/>
                      <a14:foregroundMark x1="18039" y1="66980" x2="24818" y2="67151"/>
                      <a14:foregroundMark x1="24818" y1="67151" x2="18705" y2="67365"/>
                      <a14:foregroundMark x1="24818" y1="65227" x2="25303" y2="65312"/>
                      <a14:foregroundMark x1="24939" y1="65569" x2="25303" y2="66210"/>
                      <a14:foregroundMark x1="24939" y1="66210" x2="25666" y2="67622"/>
                      <a14:foregroundMark x1="42797" y1="41446" x2="42070" y2="41617"/>
                      <a14:foregroundMark x1="36562" y1="41873" x2="42736" y2="44696"/>
                      <a14:foregroundMark x1="42736" y1="44696" x2="37833" y2="41531"/>
                      <a14:foregroundMark x1="37833" y1="41531" x2="42070" y2="41446"/>
                      <a14:foregroundMark x1="56235" y1="48973" x2="53874" y2="50128"/>
                      <a14:foregroundMark x1="73547" y1="65141" x2="73910" y2="65483"/>
                      <a14:foregroundMark x1="22639" y1="55346" x2="15254" y2="55133"/>
                      <a14:foregroundMark x1="15254" y1="55133" x2="23366" y2="55261"/>
                      <a14:foregroundMark x1="15920" y1="67151" x2="20218" y2="67066"/>
                      <a14:foregroundMark x1="76574" y1="67707" x2="76453" y2="67793"/>
                      <a14:foregroundMark x1="76211" y1="67964" x2="74274" y2="65825"/>
                      <a14:foregroundMark x1="58535" y1="48546" x2="55751" y2="49230"/>
                      <a14:foregroundMark x1="59080" y1="47904" x2="56901" y2="47648"/>
                      <a14:foregroundMark x1="23245" y1="55004" x2="21731" y2="55261"/>
                      <a14:foregroundMark x1="21731" y1="55090" x2="19976" y2="55175"/>
                      <a14:foregroundMark x1="16041" y1="55346" x2="13015" y2="55175"/>
                      <a14:backgroundMark x1="63741" y1="50642" x2="59564" y2="54405"/>
                      <a14:backgroundMark x1="59796" y1="48756" x2="59175" y2="49104"/>
                      <a14:backgroundMark x1="54444" y1="50518" x2="53632" y2="50642"/>
                      <a14:backgroundMark x1="57264" y1="50086" x2="55039" y2="50427"/>
                      <a14:backgroundMark x1="53140" y1="49148" x2="53269" y2="49102"/>
                      <a14:backgroundMark x1="74519" y1="54726" x2="73789" y2="54577"/>
                      <a14:backgroundMark x1="86743" y1="57228" x2="80746" y2="56001"/>
                      <a14:backgroundMark x1="23366" y1="55346" x2="23245" y2="55346"/>
                    </a14:backgroundRemoval>
                  </a14:imgEffect>
                </a14:imgLayer>
              </a14:imgProps>
            </a:ext>
          </a:extLst>
        </a:blip>
        <a:srcRect l="11382" t="21936" r="8328" b="23530"/>
        <a:stretch>
          <a:fillRect/>
        </a:stretch>
      </xdr:blipFill>
      <xdr:spPr>
        <a:xfrm>
          <a:off x="11259290" y="45946125"/>
          <a:ext cx="6059229" cy="58659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439793</xdr:colOff>
      <xdr:row>3</xdr:row>
      <xdr:rowOff>42369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187DC08-3724-4DD2-847C-14674E58CE96}"/>
                </a:ext>
              </a:extLst>
            </xdr:cNvPr>
            <xdr:cNvSpPr txBox="1"/>
          </xdr:nvSpPr>
          <xdr:spPr>
            <a:xfrm>
              <a:off x="9593318" y="1080594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W1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187DC08-3724-4DD2-847C-14674E58CE96}"/>
                </a:ext>
              </a:extLst>
            </xdr:cNvPr>
            <xdr:cNvSpPr txBox="1"/>
          </xdr:nvSpPr>
          <xdr:spPr>
            <a:xfrm>
              <a:off x="9593318" y="1080594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W1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14</xdr:col>
      <xdr:colOff>259147</xdr:colOff>
      <xdr:row>5</xdr:row>
      <xdr:rowOff>94921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A7D624C-E56B-4463-BD8A-FAE977A83DD2}"/>
                </a:ext>
              </a:extLst>
            </xdr:cNvPr>
            <xdr:cNvSpPr txBox="1"/>
          </xdr:nvSpPr>
          <xdr:spPr>
            <a:xfrm>
              <a:off x="10308022" y="2180896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W3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A7D624C-E56B-4463-BD8A-FAE977A83DD2}"/>
                </a:ext>
              </a:extLst>
            </xdr:cNvPr>
            <xdr:cNvSpPr txBox="1"/>
          </xdr:nvSpPr>
          <xdr:spPr>
            <a:xfrm>
              <a:off x="10308022" y="2180896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W3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54676</xdr:colOff>
      <xdr:row>4</xdr:row>
      <xdr:rowOff>198330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3D7BAF4-00B0-463B-A3F6-DFCAF5656BA6}"/>
                </a:ext>
              </a:extLst>
            </xdr:cNvPr>
            <xdr:cNvSpPr txBox="1"/>
          </xdr:nvSpPr>
          <xdr:spPr>
            <a:xfrm>
              <a:off x="9208201" y="1760430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W2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3D7BAF4-00B0-463B-A3F6-DFCAF5656BA6}"/>
                </a:ext>
              </a:extLst>
            </xdr:cNvPr>
            <xdr:cNvSpPr txBox="1"/>
          </xdr:nvSpPr>
          <xdr:spPr>
            <a:xfrm>
              <a:off x="9208201" y="1760430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W2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14</xdr:col>
      <xdr:colOff>285094</xdr:colOff>
      <xdr:row>3</xdr:row>
      <xdr:rowOff>68317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2354C03-9922-4664-B0E8-31C311DA3A93}"/>
                </a:ext>
              </a:extLst>
            </xdr:cNvPr>
            <xdr:cNvSpPr txBox="1"/>
          </xdr:nvSpPr>
          <xdr:spPr>
            <a:xfrm>
              <a:off x="10333969" y="1106542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W4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2354C03-9922-4664-B0E8-31C311DA3A93}"/>
                </a:ext>
              </a:extLst>
            </xdr:cNvPr>
            <xdr:cNvSpPr txBox="1"/>
          </xdr:nvSpPr>
          <xdr:spPr>
            <a:xfrm>
              <a:off x="10333969" y="1106542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W4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1061949</xdr:colOff>
      <xdr:row>54</xdr:row>
      <xdr:rowOff>153866</xdr:rowOff>
    </xdr:from>
    <xdr:ext cx="360933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A84AEAD-330C-45B7-A182-9B049386D66F}"/>
            </a:ext>
          </a:extLst>
        </xdr:cNvPr>
        <xdr:cNvSpPr txBox="1"/>
      </xdr:nvSpPr>
      <xdr:spPr>
        <a:xfrm>
          <a:off x="6681699" y="11983916"/>
          <a:ext cx="3609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M</a:t>
          </a:r>
          <a:r>
            <a:rPr lang="en-US" sz="1100" b="1" baseline="-25000">
              <a:solidFill>
                <a:srgbClr val="C00000"/>
              </a:solidFill>
            </a:rPr>
            <a:t>R</a:t>
          </a:r>
        </a:p>
      </xdr:txBody>
    </xdr:sp>
    <xdr:clientData/>
  </xdr:oneCellAnchor>
  <xdr:oneCellAnchor>
    <xdr:from>
      <xdr:col>4</xdr:col>
      <xdr:colOff>988219</xdr:colOff>
      <xdr:row>54</xdr:row>
      <xdr:rowOff>153590</xdr:rowOff>
    </xdr:from>
    <xdr:ext cx="39017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E282B9D-2677-4BDE-9BD9-D8653043864C}"/>
            </a:ext>
          </a:extLst>
        </xdr:cNvPr>
        <xdr:cNvSpPr txBox="1"/>
      </xdr:nvSpPr>
      <xdr:spPr>
        <a:xfrm>
          <a:off x="4521994" y="11983640"/>
          <a:ext cx="3901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∑W</a:t>
          </a:r>
          <a:endParaRPr lang="en-US" sz="1100" b="1" baseline="-25000">
            <a:solidFill>
              <a:srgbClr val="C00000"/>
            </a:solidFill>
          </a:endParaRPr>
        </a:p>
      </xdr:txBody>
    </xdr:sp>
    <xdr:clientData/>
  </xdr:oneCellAnchor>
  <xdr:oneCellAnchor>
    <xdr:from>
      <xdr:col>6</xdr:col>
      <xdr:colOff>159627</xdr:colOff>
      <xdr:row>43</xdr:row>
      <xdr:rowOff>43027</xdr:rowOff>
    </xdr:from>
    <xdr:ext cx="670183" cy="280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4315AF1-D6F6-40E8-8CC3-DEC6D1CF797A}"/>
            </a:ext>
          </a:extLst>
        </xdr:cNvPr>
        <xdr:cNvSpPr txBox="1"/>
      </xdr:nvSpPr>
      <xdr:spPr>
        <a:xfrm>
          <a:off x="5779377" y="9501352"/>
          <a:ext cx="67018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rgbClr val="C00000"/>
              </a:solidFill>
            </a:rPr>
            <a:t>M</a:t>
          </a:r>
          <a:r>
            <a:rPr lang="en-US" sz="1200" b="1" baseline="-25000">
              <a:solidFill>
                <a:srgbClr val="C00000"/>
              </a:solidFill>
            </a:rPr>
            <a:t>R </a:t>
          </a:r>
          <a:r>
            <a:rPr lang="en-US" sz="1200" b="1" baseline="0">
              <a:solidFill>
                <a:srgbClr val="C00000"/>
              </a:solidFill>
            </a:rPr>
            <a:t>/M</a:t>
          </a:r>
          <a:r>
            <a:rPr lang="en-US" sz="1200" b="1" baseline="-25000">
              <a:solidFill>
                <a:srgbClr val="C00000"/>
              </a:solidFill>
            </a:rPr>
            <a:t>O</a:t>
          </a:r>
        </a:p>
      </xdr:txBody>
    </xdr:sp>
    <xdr:clientData/>
  </xdr:oneCellAnchor>
  <xdr:oneCellAnchor>
    <xdr:from>
      <xdr:col>2</xdr:col>
      <xdr:colOff>40270</xdr:colOff>
      <xdr:row>60</xdr:row>
      <xdr:rowOff>64262</xdr:rowOff>
    </xdr:from>
    <xdr:ext cx="746808" cy="28020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A561D60-AA08-467E-8C91-47AA78381AA7}"/>
            </a:ext>
          </a:extLst>
        </xdr:cNvPr>
        <xdr:cNvSpPr txBox="1"/>
      </xdr:nvSpPr>
      <xdr:spPr>
        <a:xfrm>
          <a:off x="1697620" y="12665837"/>
          <a:ext cx="74680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rgbClr val="C00000"/>
              </a:solidFill>
            </a:rPr>
            <a:t>0.5</a:t>
          </a:r>
          <a:r>
            <a:rPr lang="en-US" sz="11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∑</a:t>
          </a:r>
          <a:r>
            <a:rPr lang="en-US" sz="12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W</a:t>
          </a:r>
          <a:r>
            <a:rPr lang="en-US" sz="1200" b="1" baseline="0">
              <a:solidFill>
                <a:srgbClr val="C00000"/>
              </a:solidFill>
            </a:rPr>
            <a:t>/P</a:t>
          </a:r>
          <a:endParaRPr lang="en-US" sz="1200" b="1" baseline="-25000">
            <a:solidFill>
              <a:srgbClr val="C00000"/>
            </a:solidFill>
          </a:endParaRPr>
        </a:p>
      </xdr:txBody>
    </xdr:sp>
    <xdr:clientData/>
  </xdr:oneCellAnchor>
  <xdr:oneCellAnchor>
    <xdr:from>
      <xdr:col>12</xdr:col>
      <xdr:colOff>427969</xdr:colOff>
      <xdr:row>6</xdr:row>
      <xdr:rowOff>192142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19E8A94-AE15-454F-B5FB-CDFF7EFD554D}"/>
                </a:ext>
              </a:extLst>
            </xdr:cNvPr>
            <xdr:cNvSpPr txBox="1"/>
          </xdr:nvSpPr>
          <xdr:spPr>
            <a:xfrm>
              <a:off x="9581494" y="2506717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W5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19E8A94-AE15-454F-B5FB-CDFF7EFD554D}"/>
                </a:ext>
              </a:extLst>
            </xdr:cNvPr>
            <xdr:cNvSpPr txBox="1"/>
          </xdr:nvSpPr>
          <xdr:spPr>
            <a:xfrm>
              <a:off x="9581494" y="2506717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W5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twoCellAnchor editAs="oneCell">
    <xdr:from>
      <xdr:col>12</xdr:col>
      <xdr:colOff>130803</xdr:colOff>
      <xdr:row>218</xdr:row>
      <xdr:rowOff>161924</xdr:rowOff>
    </xdr:from>
    <xdr:to>
      <xdr:col>24</xdr:col>
      <xdr:colOff>828211</xdr:colOff>
      <xdr:row>251</xdr:row>
      <xdr:rowOff>15463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1C9A6A8-202C-6409-7E0C-F13D827E01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66" b="89991" l="8293" r="89952">
                      <a14:foregroundMark x1="8293" y1="55346" x2="19673" y2="55603"/>
                      <a14:foregroundMark x1="19673" y1="55603" x2="10048" y2="55304"/>
                      <a14:foregroundMark x1="10048" y1="55304" x2="22700" y2="56501"/>
                      <a14:foregroundMark x1="23305" y1="65526" x2="18886" y2="69290"/>
                      <a14:foregroundMark x1="18886" y1="69290" x2="12349" y2="68691"/>
                      <a14:foregroundMark x1="12349" y1="68691" x2="20702" y2="68520"/>
                      <a14:foregroundMark x1="20702" y1="68520" x2="12470" y2="67836"/>
                      <a14:foregroundMark x1="12470" y1="67836" x2="19492" y2="67836"/>
                      <a14:foregroundMark x1="19492" y1="67836" x2="21065" y2="68349"/>
                      <a14:foregroundMark x1="73729" y1="64585" x2="78511" y2="67750"/>
                      <a14:foregroundMark x1="78511" y1="67750" x2="86320" y2="69333"/>
                      <a14:foregroundMark x1="86320" y1="69333" x2="78027" y2="68991"/>
                      <a14:foregroundMark x1="75363" y1="56202" x2="75363" y2="56202"/>
                      <a14:foregroundMark x1="75666" y1="56202" x2="76574" y2="55475"/>
                      <a14:foregroundMark x1="77300" y1="55646" x2="85593" y2="55817"/>
                      <a14:foregroundMark x1="85593" y1="55817" x2="76090" y2="55646"/>
                      <a14:foregroundMark x1="50605" y1="70145" x2="43584" y2="73139"/>
                      <a14:foregroundMark x1="43584" y1="73139" x2="49092" y2="72669"/>
                      <a14:foregroundMark x1="51755" y1="48204" x2="61864" y2="47819"/>
                      <a14:foregroundMark x1="44189" y1="41189" x2="30811" y2="40633"/>
                      <a14:foregroundMark x1="30811" y1="40633" x2="41707" y2="42044"/>
                      <a14:foregroundMark x1="41707" y1="42044" x2="41525" y2="41403"/>
                      <a14:foregroundMark x1="51513" y1="32378" x2="60835" y2="31993"/>
                      <a14:foregroundMark x1="60835" y1="31993" x2="54903" y2="32720"/>
                      <a14:foregroundMark x1="54298" y1="32293" x2="61683" y2="32549"/>
                      <a14:foregroundMark x1="61683" y1="32549" x2="65012" y2="32079"/>
                      <a14:foregroundMark x1="44794" y1="29127" x2="44407" y2="29107"/>
                      <a14:foregroundMark x1="40255" y1="28798" x2="44915" y2="28828"/>
                      <a14:foregroundMark x1="44915" y1="28828" x2="40204" y2="28590"/>
                      <a14:foregroundMark x1="50605" y1="71300" x2="44249" y2="74038"/>
                      <a14:foregroundMark x1="44249" y1="74038" x2="50545" y2="71429"/>
                      <a14:foregroundMark x1="50545" y1="71429" x2="50908" y2="73781"/>
                      <a14:foregroundMark x1="50726" y1="70231" x2="51211" y2="74209"/>
                      <a14:foregroundMark x1="50726" y1="73268" x2="44370" y2="73396"/>
                      <a14:foregroundMark x1="51513" y1="73268" x2="46913" y2="73268"/>
                      <a14:foregroundMark x1="50726" y1="73268" x2="46308" y2="73781"/>
                      <a14:foregroundMark x1="84867" y1="55346" x2="75847" y2="55261"/>
                      <a14:foregroundMark x1="75847" y1="55261" x2="76574" y2="55261"/>
                      <a14:foregroundMark x1="74455" y1="65954" x2="75545" y2="66168"/>
                      <a14:foregroundMark x1="74455" y1="66168" x2="74939" y2="66553"/>
                      <a14:foregroundMark x1="20403" y1="55753" x2="19431" y2="55560"/>
                      <a14:foregroundMark x1="23426" y1="65825" x2="23305" y2="65740"/>
                      <a14:foregroundMark x1="23305" y1="66039" x2="24092" y2="69119"/>
                      <a14:foregroundMark x1="23184" y1="68948" x2="20763" y2="68777"/>
                      <a14:foregroundMark x1="23729" y1="57314" x2="23729" y2="57699"/>
                      <a14:foregroundMark x1="21913" y1="55945" x2="21126" y2="55560"/>
                      <a14:foregroundMark x1="38862" y1="40719" x2="38015" y2="40462"/>
                      <a14:foregroundMark x1="43523" y1="40633" x2="36562" y2="39820"/>
                      <a14:foregroundMark x1="64104" y1="32678" x2="53390" y2="31950"/>
                      <a14:foregroundMark x1="53390" y1="31950" x2="62651" y2="32549"/>
                      <a14:foregroundMark x1="62651" y1="32549" x2="65133" y2="32378"/>
                      <a14:foregroundMark x1="52785" y1="47690" x2="60351" y2="47861"/>
                      <a14:foregroundMark x1="60351" y1="47861" x2="52906" y2="47648"/>
                      <a14:foregroundMark x1="52906" y1="47648" x2="53148" y2="47434"/>
                      <a14:foregroundMark x1="58051" y1="48503" x2="51998" y2="51069"/>
                      <a14:foregroundMark x1="51998" y1="51069" x2="56780" y2="49786"/>
                      <a14:foregroundMark x1="74637" y1="66382" x2="76332" y2="68050"/>
                      <a14:foregroundMark x1="41949" y1="28700" x2="31961" y2="28571"/>
                      <a14:foregroundMark x1="31961" y1="28571" x2="39528" y2="28400"/>
                      <a14:foregroundMark x1="39528" y1="28400" x2="32748" y2="28186"/>
                      <a14:foregroundMark x1="32748" y1="28186" x2="41949" y2="28999"/>
                      <a14:backgroundMark x1="21626" y1="55503" x2="20097" y2="55389"/>
                      <a14:backgroundMark x1="44794" y1="34773" x2="26150" y2="32464"/>
                      <a14:backgroundMark x1="37833" y1="30282" x2="35591" y2="29226"/>
                    </a14:backgroundRemoval>
                  </a14:imgEffect>
                </a14:imgLayer>
              </a14:imgProps>
            </a:ext>
          </a:extLst>
        </a:blip>
        <a:srcRect t="18360" b="21804"/>
        <a:stretch>
          <a:fillRect/>
        </a:stretch>
      </xdr:blipFill>
      <xdr:spPr>
        <a:xfrm>
          <a:off x="9284328" y="42224324"/>
          <a:ext cx="7403008" cy="62179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C490CF-817F-42D0-9915-374D3CD75BCA}" name="Table14" displayName="Table14" ref="Y86:AD96" totalsRowShown="0" headerRowDxfId="65" dataDxfId="63" headerRowBorderDxfId="64" tableBorderDxfId="62" totalsRowBorderDxfId="61">
  <autoFilter ref="Y86:AD96" xr:uid="{BCABD48D-C21D-4D23-9965-0B92F327BCF3}"/>
  <tableColumns count="6">
    <tableColumn id="1" xr3:uid="{605D0F6E-D16E-4B78-AC81-56B3D88BFB6F}" name="Metric Bar No." dataDxfId="60"/>
    <tableColumn id="2" xr3:uid="{C472BA67-24E0-40AF-ADCC-2674AB058D6E}" name="Inch-Pound Bar No." dataDxfId="59"/>
    <tableColumn id="3" xr3:uid="{71F88192-A4EC-41A5-B6E4-ACFBBD390260}" name="Diameter (inch)" dataDxfId="58">
      <calculatedColumnFormula>X87/8</calculatedColumnFormula>
    </tableColumn>
    <tableColumn id="4" xr3:uid="{CF469C3D-022E-43F7-8AE3-B3EBC9E74530}" name="Diameter (mm)" dataDxfId="57"/>
    <tableColumn id="5" xr3:uid="{0EC3E639-1B4C-48DA-B0AE-1CECE31EC606}" name="Area (mm²)" dataDxfId="56"/>
    <tableColumn id="6" xr3:uid="{5B2684FE-AFEB-494D-869A-C41D0321E54F}" name="Area (inch²)" dataDxfId="55">
      <calculatedColumnFormula>(PI()/4)*Table14[[#This Row],[Diameter (inch)]]^2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693A4-AF2F-4A5E-A2C5-CDCBF32E21D2}" name="Table142" displayName="Table142" ref="Y88:AD98" totalsRowShown="0" headerRowDxfId="54" dataDxfId="52" headerRowBorderDxfId="53" tableBorderDxfId="51" totalsRowBorderDxfId="50">
  <autoFilter ref="Y88:AD98" xr:uid="{BCABD48D-C21D-4D23-9965-0B92F327BCF3}"/>
  <tableColumns count="6">
    <tableColumn id="1" xr3:uid="{9106449A-3527-4EA6-9349-8863E8763321}" name="Metric Bar No." dataDxfId="49"/>
    <tableColumn id="2" xr3:uid="{D4A8038C-8E4F-47B7-8CA9-25B95E6965B0}" name="Inch-Pound Bar No." dataDxfId="48"/>
    <tableColumn id="3" xr3:uid="{9A1D7479-B278-423B-B3BD-B4C6599C3DF9}" name="Diameter (inch)" dataDxfId="47">
      <calculatedColumnFormula>X89/8</calculatedColumnFormula>
    </tableColumn>
    <tableColumn id="4" xr3:uid="{98505CEC-3842-4765-ABCD-2B36133ABF77}" name="Diameter (mm)" dataDxfId="46"/>
    <tableColumn id="5" xr3:uid="{1AC73421-2BF7-4328-B6D5-4A3FD00F2384}" name="Area (mm²)" dataDxfId="45"/>
    <tableColumn id="6" xr3:uid="{D7162F9B-D3C4-45DD-AAB6-C379E1E54DEF}" name="Area (inch²)" dataDxfId="44">
      <calculatedColumnFormula>(PI()/4)*Table142[[#This Row],[Diameter (inch)]]^2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4A80-8957-4C47-BE6C-0266FA94D7CD}">
  <sheetPr>
    <pageSetUpPr fitToPage="1"/>
  </sheetPr>
  <dimension ref="B1:AH245"/>
  <sheetViews>
    <sheetView tabSelected="1" zoomScale="85" zoomScaleNormal="85" zoomScaleSheetLayoutView="85" workbookViewId="0">
      <selection activeCell="F30" sqref="F30:F31"/>
    </sheetView>
  </sheetViews>
  <sheetFormatPr defaultRowHeight="15" x14ac:dyDescent="0.25"/>
  <cols>
    <col min="2" max="3" width="15.7109375" bestFit="1" customWidth="1"/>
    <col min="4" max="4" width="12.42578125" bestFit="1" customWidth="1"/>
    <col min="5" max="5" width="17.140625" bestFit="1" customWidth="1"/>
    <col min="6" max="7" width="16.28515625" bestFit="1" customWidth="1"/>
    <col min="8" max="8" width="14.42578125" bestFit="1" customWidth="1"/>
    <col min="9" max="9" width="9.7109375" bestFit="1" customWidth="1"/>
    <col min="10" max="10" width="6.85546875" bestFit="1" customWidth="1"/>
    <col min="11" max="11" width="8.5703125" bestFit="1" customWidth="1"/>
    <col min="12" max="12" width="11.28515625" bestFit="1" customWidth="1"/>
    <col min="13" max="16" width="6.7109375" customWidth="1"/>
    <col min="18" max="18" width="9.140625" customWidth="1"/>
    <col min="20" max="21" width="9.140625" customWidth="1"/>
    <col min="24" max="24" width="9.7109375" bestFit="1" customWidth="1"/>
    <col min="25" max="25" width="21.85546875" bestFit="1" customWidth="1"/>
    <col min="26" max="26" width="27.42578125" bestFit="1" customWidth="1"/>
    <col min="27" max="27" width="23.28515625" bestFit="1" customWidth="1"/>
    <col min="28" max="28" width="23" bestFit="1" customWidth="1"/>
    <col min="29" max="29" width="22" bestFit="1" customWidth="1"/>
    <col min="30" max="30" width="23.7109375" bestFit="1" customWidth="1"/>
    <col min="33" max="33" width="8.5703125" bestFit="1" customWidth="1"/>
  </cols>
  <sheetData>
    <row r="1" spans="3:21" ht="16.5" customHeight="1" x14ac:dyDescent="0.25">
      <c r="M1" s="9"/>
      <c r="N1" s="9"/>
    </row>
    <row r="2" spans="3:21" ht="24" customHeight="1" thickBot="1" x14ac:dyDescent="0.3">
      <c r="N2" s="10" t="str">
        <f>F24 &amp;"ft"</f>
        <v>1.25ft</v>
      </c>
    </row>
    <row r="3" spans="3:21" ht="41.25" customHeight="1" thickTop="1" x14ac:dyDescent="0.25">
      <c r="J3" s="181" t="str">
        <f>D20 &amp; "ft"</f>
        <v>16ft</v>
      </c>
      <c r="M3" s="182"/>
      <c r="N3" s="11"/>
      <c r="O3" s="12"/>
      <c r="R3" s="181" t="str">
        <f>D20-F30 &amp; "ft"</f>
        <v>14.5ft</v>
      </c>
    </row>
    <row r="4" spans="3:21" ht="41.25" customHeight="1" x14ac:dyDescent="0.25">
      <c r="J4" s="181"/>
      <c r="K4" s="13"/>
      <c r="M4" s="182"/>
      <c r="N4" s="14"/>
      <c r="O4" s="12"/>
      <c r="R4" s="181"/>
    </row>
    <row r="5" spans="3:21" ht="41.25" customHeight="1" thickBot="1" x14ac:dyDescent="0.3">
      <c r="J5" s="181"/>
      <c r="K5" s="184" t="str">
        <f>TEXT(F35,"0.0") &amp; " ft"</f>
        <v>3.4 ft</v>
      </c>
      <c r="L5" s="184"/>
      <c r="M5" s="183"/>
      <c r="N5" s="14"/>
      <c r="O5" s="185" t="str">
        <f>TEXT(F34,"0.0") &amp;"ft"</f>
        <v>5.6ft</v>
      </c>
      <c r="P5" s="184"/>
      <c r="Q5" s="184"/>
      <c r="R5" s="181"/>
    </row>
    <row r="6" spans="3:21" ht="18" customHeight="1" thickTop="1" x14ac:dyDescent="0.25">
      <c r="J6" s="181"/>
      <c r="K6" s="15"/>
      <c r="L6" s="16"/>
      <c r="M6" s="17" t="str">
        <f>TEXT(U7,"0.0") &amp; "ft"</f>
        <v>0.0ft</v>
      </c>
      <c r="N6" s="17" t="str">
        <f>TEXT(U8,"0.00") &amp; "ft"</f>
        <v>1.25ft</v>
      </c>
      <c r="O6" s="16"/>
      <c r="P6" s="16"/>
      <c r="Q6" s="11"/>
      <c r="R6" s="186" t="str">
        <f>F30 &amp; "ft"</f>
        <v>1.5ft</v>
      </c>
      <c r="U6">
        <f>D20-F30</f>
        <v>14.5</v>
      </c>
    </row>
    <row r="7" spans="3:21" ht="17.25" customHeight="1" thickBot="1" x14ac:dyDescent="0.3">
      <c r="J7" s="181"/>
      <c r="K7" s="18"/>
      <c r="L7" s="19"/>
      <c r="M7" s="19"/>
      <c r="N7" s="19"/>
      <c r="O7" s="19"/>
      <c r="P7" s="19"/>
      <c r="Q7" s="20"/>
      <c r="R7" s="186"/>
      <c r="U7">
        <f>F28-F24</f>
        <v>0</v>
      </c>
    </row>
    <row r="8" spans="3:21" ht="15.75" thickTop="1" x14ac:dyDescent="0.25">
      <c r="K8" s="215" t="str">
        <f>F26 &amp; "ft"</f>
        <v>10.25ft</v>
      </c>
      <c r="L8" s="215"/>
      <c r="M8" s="215"/>
      <c r="N8" s="215"/>
      <c r="O8" s="215"/>
      <c r="P8" s="215"/>
      <c r="Q8" s="215"/>
      <c r="R8" s="13"/>
      <c r="U8">
        <f>F24</f>
        <v>1.25</v>
      </c>
    </row>
    <row r="9" spans="3:21" x14ac:dyDescent="0.25">
      <c r="L9" s="21"/>
      <c r="M9" s="21"/>
      <c r="N9" s="21"/>
      <c r="O9" s="21"/>
      <c r="P9" s="21"/>
      <c r="Q9" s="21"/>
      <c r="R9" s="21"/>
    </row>
    <row r="11" spans="3:21" ht="15.75" thickBot="1" x14ac:dyDescent="0.3"/>
    <row r="12" spans="3:21" x14ac:dyDescent="0.25">
      <c r="C12" s="69" t="s">
        <v>144</v>
      </c>
      <c r="D12" s="157">
        <v>13</v>
      </c>
    </row>
    <row r="13" spans="3:21" x14ac:dyDescent="0.25">
      <c r="C13" s="23" t="s">
        <v>145</v>
      </c>
      <c r="D13" s="158">
        <v>3</v>
      </c>
    </row>
    <row r="14" spans="3:21" x14ac:dyDescent="0.25">
      <c r="C14" s="22" t="s">
        <v>60</v>
      </c>
      <c r="D14" s="7">
        <v>3000</v>
      </c>
    </row>
    <row r="15" spans="3:21" x14ac:dyDescent="0.25">
      <c r="C15" s="22" t="s">
        <v>59</v>
      </c>
      <c r="D15" s="7">
        <v>60000</v>
      </c>
    </row>
    <row r="16" spans="3:21" ht="18" x14ac:dyDescent="0.35">
      <c r="C16" s="23" t="s">
        <v>31</v>
      </c>
      <c r="D16" s="1">
        <v>130</v>
      </c>
    </row>
    <row r="17" spans="3:8" ht="18" x14ac:dyDescent="0.35">
      <c r="C17" s="23" t="s">
        <v>32</v>
      </c>
      <c r="D17" s="1">
        <v>145</v>
      </c>
    </row>
    <row r="18" spans="3:8" x14ac:dyDescent="0.25">
      <c r="C18" s="23" t="s">
        <v>10</v>
      </c>
      <c r="D18" s="1">
        <v>32</v>
      </c>
      <c r="E18" s="24">
        <f>(PI()/180)*D18</f>
        <v>0.55850536063818546</v>
      </c>
    </row>
    <row r="19" spans="3:8" ht="18" x14ac:dyDescent="0.35">
      <c r="C19" s="23" t="s">
        <v>33</v>
      </c>
      <c r="D19" s="1">
        <v>4000</v>
      </c>
    </row>
    <row r="20" spans="3:8" x14ac:dyDescent="0.25">
      <c r="C20" s="23" t="s">
        <v>11</v>
      </c>
      <c r="D20" s="1">
        <f>D12+D13</f>
        <v>16</v>
      </c>
    </row>
    <row r="21" spans="3:8" ht="15.75" thickBot="1" x14ac:dyDescent="0.3">
      <c r="C21" s="25" t="s">
        <v>26</v>
      </c>
      <c r="D21" s="2">
        <v>0</v>
      </c>
    </row>
    <row r="22" spans="3:8" ht="15.75" thickBot="1" x14ac:dyDescent="0.3"/>
    <row r="23" spans="3:8" ht="15.75" thickBot="1" x14ac:dyDescent="0.3">
      <c r="C23" s="26" t="s">
        <v>8</v>
      </c>
      <c r="D23" s="27" t="s">
        <v>9</v>
      </c>
      <c r="E23" s="27" t="s">
        <v>12</v>
      </c>
      <c r="F23" s="28" t="s">
        <v>13</v>
      </c>
    </row>
    <row r="24" spans="3:8" x14ac:dyDescent="0.25">
      <c r="C24" s="216" t="s">
        <v>1</v>
      </c>
      <c r="D24" s="29" t="s">
        <v>6</v>
      </c>
      <c r="E24" s="30">
        <f>3.28*0.3</f>
        <v>0.98399999999999987</v>
      </c>
      <c r="F24" s="218">
        <v>1.25</v>
      </c>
      <c r="G24" s="31"/>
      <c r="H24" s="31"/>
    </row>
    <row r="25" spans="3:8" ht="15.75" thickBot="1" x14ac:dyDescent="0.3">
      <c r="C25" s="217"/>
      <c r="D25" s="33" t="s">
        <v>7</v>
      </c>
      <c r="E25" s="34">
        <f>D20/12</f>
        <v>1.3333333333333333</v>
      </c>
      <c r="F25" s="219"/>
      <c r="G25" s="31"/>
      <c r="H25" s="31"/>
    </row>
    <row r="26" spans="3:8" x14ac:dyDescent="0.25">
      <c r="C26" s="216" t="s">
        <v>2</v>
      </c>
      <c r="D26" s="29" t="s">
        <v>44</v>
      </c>
      <c r="E26" s="30">
        <f>0.4*D20</f>
        <v>6.4</v>
      </c>
      <c r="F26" s="218">
        <v>10.25</v>
      </c>
      <c r="G26" s="31"/>
      <c r="H26" s="31"/>
    </row>
    <row r="27" spans="3:8" ht="15.75" thickBot="1" x14ac:dyDescent="0.3">
      <c r="C27" s="217"/>
      <c r="D27" s="33" t="s">
        <v>45</v>
      </c>
      <c r="E27" s="34">
        <f>0.6*D20</f>
        <v>9.6</v>
      </c>
      <c r="F27" s="219"/>
      <c r="G27" s="31"/>
      <c r="H27" s="31"/>
    </row>
    <row r="28" spans="3:8" x14ac:dyDescent="0.25">
      <c r="C28" s="216" t="s">
        <v>50</v>
      </c>
      <c r="D28" s="29" t="s">
        <v>46</v>
      </c>
      <c r="E28" s="30">
        <f>0.07*D20</f>
        <v>1.1200000000000001</v>
      </c>
      <c r="F28" s="220">
        <v>1.25</v>
      </c>
      <c r="G28" s="31"/>
      <c r="H28" s="31"/>
    </row>
    <row r="29" spans="3:8" ht="15.75" thickBot="1" x14ac:dyDescent="0.3">
      <c r="C29" s="217"/>
      <c r="D29" s="33" t="s">
        <v>51</v>
      </c>
      <c r="E29" s="34">
        <f>0.12*D20</f>
        <v>1.92</v>
      </c>
      <c r="F29" s="221"/>
      <c r="G29" s="31"/>
      <c r="H29" s="31"/>
    </row>
    <row r="30" spans="3:8" x14ac:dyDescent="0.25">
      <c r="C30" s="216" t="s">
        <v>3</v>
      </c>
      <c r="D30" s="29" t="s">
        <v>46</v>
      </c>
      <c r="E30" s="30">
        <f>D20*0.07</f>
        <v>1.1200000000000001</v>
      </c>
      <c r="F30" s="218">
        <v>1.5</v>
      </c>
      <c r="G30" s="31"/>
      <c r="H30" s="31"/>
    </row>
    <row r="31" spans="3:8" ht="15.75" thickBot="1" x14ac:dyDescent="0.3">
      <c r="C31" s="217"/>
      <c r="D31" s="33" t="s">
        <v>47</v>
      </c>
      <c r="E31" s="34">
        <f>D20*0.1</f>
        <v>1.6</v>
      </c>
      <c r="F31" s="219"/>
      <c r="G31" s="31"/>
      <c r="H31" s="31"/>
    </row>
    <row r="32" spans="3:8" ht="15.75" thickBot="1" x14ac:dyDescent="0.3">
      <c r="C32" s="222" t="s">
        <v>48</v>
      </c>
      <c r="D32" s="223"/>
      <c r="E32" s="223"/>
      <c r="F32" s="35">
        <f>F26/3</f>
        <v>3.4166666666666665</v>
      </c>
      <c r="G32" s="31"/>
      <c r="H32" s="31"/>
    </row>
    <row r="33" spans="3:11" ht="15.75" thickBot="1" x14ac:dyDescent="0.3">
      <c r="C33" s="224" t="s">
        <v>49</v>
      </c>
      <c r="D33" s="225"/>
      <c r="E33" s="225"/>
      <c r="F33" s="8">
        <f>(2*F26)/3</f>
        <v>6.833333333333333</v>
      </c>
      <c r="G33" s="31"/>
      <c r="H33" s="31"/>
    </row>
    <row r="34" spans="3:11" ht="15.75" thickBot="1" x14ac:dyDescent="0.3">
      <c r="C34" s="212" t="s">
        <v>4</v>
      </c>
      <c r="D34" s="213"/>
      <c r="E34" s="214"/>
      <c r="F34" s="8">
        <f>F26-F35-F28</f>
        <v>5.5833333333333339</v>
      </c>
      <c r="G34" s="31"/>
      <c r="H34" s="31"/>
    </row>
    <row r="35" spans="3:11" ht="15.75" thickBot="1" x14ac:dyDescent="0.3">
      <c r="C35" s="212" t="s">
        <v>5</v>
      </c>
      <c r="D35" s="213"/>
      <c r="E35" s="214"/>
      <c r="F35" s="8">
        <f>F32</f>
        <v>3.4166666666666665</v>
      </c>
      <c r="G35" s="31"/>
      <c r="H35" s="31"/>
    </row>
    <row r="40" spans="3:11" ht="15.75" thickBot="1" x14ac:dyDescent="0.3"/>
    <row r="41" spans="3:11" x14ac:dyDescent="0.25">
      <c r="C41" s="242" t="s">
        <v>14</v>
      </c>
      <c r="D41" s="243"/>
    </row>
    <row r="42" spans="3:11" ht="15.75" thickBot="1" x14ac:dyDescent="0.3">
      <c r="C42" s="23" t="s">
        <v>15</v>
      </c>
      <c r="D42" s="36">
        <f>(1-SIN(E18))/(1+SIN(E18))</f>
        <v>0.30725852452246849</v>
      </c>
    </row>
    <row r="43" spans="3:11" x14ac:dyDescent="0.25">
      <c r="C43" s="23" t="s">
        <v>0</v>
      </c>
      <c r="D43" s="36">
        <f>D20</f>
        <v>16</v>
      </c>
      <c r="G43" s="244"/>
      <c r="H43" s="246">
        <f>H54/D47</f>
        <v>3.6872075870025824</v>
      </c>
      <c r="I43" s="230" t="str">
        <f>IF(H43&gt;2,"OK!","REDESIGN")</f>
        <v>OK!</v>
      </c>
      <c r="J43" s="248"/>
      <c r="K43" s="248"/>
    </row>
    <row r="44" spans="3:11" ht="15.75" thickBot="1" x14ac:dyDescent="0.3">
      <c r="C44" s="23" t="s">
        <v>16</v>
      </c>
      <c r="D44" s="36">
        <f>D21/D16</f>
        <v>0</v>
      </c>
      <c r="G44" s="245"/>
      <c r="H44" s="247"/>
      <c r="I44" s="230"/>
      <c r="J44" s="248"/>
      <c r="K44" s="248"/>
    </row>
    <row r="45" spans="3:11" x14ac:dyDescent="0.25">
      <c r="C45" s="23" t="s">
        <v>27</v>
      </c>
      <c r="D45" s="36">
        <f>((D43^2)+3*(D43)*(D44))/(3*(D43+2*(D44)))</f>
        <v>5.333333333333333</v>
      </c>
    </row>
    <row r="46" spans="3:11" x14ac:dyDescent="0.25">
      <c r="C46" s="23" t="s">
        <v>28</v>
      </c>
      <c r="D46" s="36">
        <f>1/2*D42*D16*D43*(D43+2*(D44))</f>
        <v>5112.7818480538754</v>
      </c>
    </row>
    <row r="47" spans="3:11" ht="15.75" thickBot="1" x14ac:dyDescent="0.3">
      <c r="C47" s="25" t="s">
        <v>29</v>
      </c>
      <c r="D47" s="37">
        <f>D46*D45</f>
        <v>27268.169856287335</v>
      </c>
    </row>
    <row r="48" spans="3:11" ht="15.75" thickBot="1" x14ac:dyDescent="0.3"/>
    <row r="49" spans="3:8" ht="17.25" x14ac:dyDescent="0.25">
      <c r="C49" s="38" t="s">
        <v>24</v>
      </c>
      <c r="D49" s="39" t="s">
        <v>18</v>
      </c>
      <c r="E49" s="39" t="s">
        <v>20</v>
      </c>
      <c r="F49" s="39" t="s">
        <v>19</v>
      </c>
      <c r="G49" s="39" t="s">
        <v>17</v>
      </c>
      <c r="H49" s="40" t="s">
        <v>30</v>
      </c>
    </row>
    <row r="50" spans="3:8" x14ac:dyDescent="0.25">
      <c r="C50" s="41" t="s">
        <v>21</v>
      </c>
      <c r="D50" s="42">
        <f>F24*U6*1</f>
        <v>18.125</v>
      </c>
      <c r="E50" s="43">
        <f>D17</f>
        <v>145</v>
      </c>
      <c r="F50" s="43">
        <f>D50*E50</f>
        <v>2628.125</v>
      </c>
      <c r="G50" s="42">
        <f>F35+U7+F24/2</f>
        <v>4.0416666666666661</v>
      </c>
      <c r="H50" s="36">
        <f>F50*G50</f>
        <v>10622.005208333332</v>
      </c>
    </row>
    <row r="51" spans="3:8" x14ac:dyDescent="0.25">
      <c r="C51" s="41" t="s">
        <v>22</v>
      </c>
      <c r="D51" s="42">
        <f>1/2*(U7*U6)*1</f>
        <v>0</v>
      </c>
      <c r="E51" s="43">
        <f>D17</f>
        <v>145</v>
      </c>
      <c r="F51" s="43">
        <f t="shared" ref="F51:F53" si="0">D51*E51</f>
        <v>0</v>
      </c>
      <c r="G51" s="42">
        <f>F35+U7/2</f>
        <v>3.4166666666666665</v>
      </c>
      <c r="H51" s="36">
        <f>F51*G51</f>
        <v>0</v>
      </c>
    </row>
    <row r="52" spans="3:8" x14ac:dyDescent="0.25">
      <c r="C52" s="41" t="s">
        <v>23</v>
      </c>
      <c r="D52" s="42">
        <f>F26*F30*1</f>
        <v>15.375</v>
      </c>
      <c r="E52" s="43">
        <f>D17</f>
        <v>145</v>
      </c>
      <c r="F52" s="43">
        <f t="shared" si="0"/>
        <v>2229.375</v>
      </c>
      <c r="G52" s="42">
        <f>F26/2</f>
        <v>5.125</v>
      </c>
      <c r="H52" s="36">
        <f>F52*G52</f>
        <v>11425.546875</v>
      </c>
    </row>
    <row r="53" spans="3:8" ht="15.75" thickBot="1" x14ac:dyDescent="0.3">
      <c r="C53" s="41" t="s">
        <v>25</v>
      </c>
      <c r="D53" s="42">
        <f>(U6+D44)*F34</f>
        <v>80.958333333333343</v>
      </c>
      <c r="E53" s="43">
        <f>D16</f>
        <v>130</v>
      </c>
      <c r="F53" s="44">
        <f t="shared" si="0"/>
        <v>10524.583333333334</v>
      </c>
      <c r="G53" s="42">
        <f>F35+F28+F34/2</f>
        <v>7.458333333333333</v>
      </c>
      <c r="H53" s="36">
        <f>F53*G53</f>
        <v>78495.850694444453</v>
      </c>
    </row>
    <row r="54" spans="3:8" ht="15.75" thickBot="1" x14ac:dyDescent="0.3">
      <c r="F54" s="45">
        <f>SUM(F50:F53)</f>
        <v>15382.083333333334</v>
      </c>
      <c r="H54" s="46">
        <f>SUM(H50:H53)</f>
        <v>100543.40277777778</v>
      </c>
    </row>
    <row r="57" spans="3:8" ht="15.75" thickBot="1" x14ac:dyDescent="0.3"/>
    <row r="58" spans="3:8" ht="15.75" x14ac:dyDescent="0.25">
      <c r="C58" s="253" t="s">
        <v>34</v>
      </c>
      <c r="D58" s="254"/>
    </row>
    <row r="59" spans="3:8" ht="18" customHeight="1" x14ac:dyDescent="0.25">
      <c r="C59" s="249"/>
      <c r="D59" s="251">
        <f>(0.5*F54)/D46</f>
        <v>1.5042772985892559</v>
      </c>
      <c r="E59" s="230" t="str">
        <f>IF(D59&gt;=1.5,"OK!","REDESIGN")</f>
        <v>OK!</v>
      </c>
    </row>
    <row r="60" spans="3:8" ht="15.75" customHeight="1" thickBot="1" x14ac:dyDescent="0.3">
      <c r="C60" s="250"/>
      <c r="D60" s="252"/>
      <c r="E60" s="230"/>
    </row>
    <row r="64" spans="3:8" ht="15.75" thickBot="1" x14ac:dyDescent="0.3"/>
    <row r="65" spans="3:8" ht="15.75" thickBot="1" x14ac:dyDescent="0.3">
      <c r="F65" s="38" t="s">
        <v>38</v>
      </c>
      <c r="G65" s="39" t="s">
        <v>36</v>
      </c>
      <c r="H65" s="40" t="s">
        <v>39</v>
      </c>
    </row>
    <row r="66" spans="3:8" ht="15.75" x14ac:dyDescent="0.25">
      <c r="C66" s="253" t="s">
        <v>35</v>
      </c>
      <c r="D66" s="254"/>
      <c r="F66" s="47" t="s">
        <v>37</v>
      </c>
      <c r="G66" s="48">
        <f>(4*(F26)-6*(D67))*((F54)/F26^2)</f>
        <v>1818.0989328992177</v>
      </c>
      <c r="H66" s="49">
        <f>((6*D67)-(2*F26))*(F54/F26^2)</f>
        <v>1183.2831809219206</v>
      </c>
    </row>
    <row r="67" spans="3:8" x14ac:dyDescent="0.25">
      <c r="C67" s="50" t="s">
        <v>104</v>
      </c>
      <c r="D67" s="49">
        <f>(H54-D47)/F54</f>
        <v>4.7636741612692539</v>
      </c>
      <c r="E67" s="51"/>
      <c r="F67" s="47" t="s">
        <v>41</v>
      </c>
      <c r="G67" s="48">
        <f>(2*F54)/F26</f>
        <v>3001.3821138211383</v>
      </c>
      <c r="H67" s="49">
        <v>0</v>
      </c>
    </row>
    <row r="68" spans="3:8" ht="15.75" thickBot="1" x14ac:dyDescent="0.3">
      <c r="C68" s="50" t="s">
        <v>105</v>
      </c>
      <c r="D68" s="49">
        <f>F26/3</f>
        <v>3.4166666666666665</v>
      </c>
      <c r="E68" s="51"/>
      <c r="F68" s="52" t="s">
        <v>40</v>
      </c>
      <c r="G68" s="53">
        <f>(2*F54)/(3*D67)</f>
        <v>2152.6917826575086</v>
      </c>
      <c r="H68" s="54">
        <v>0</v>
      </c>
    </row>
    <row r="69" spans="3:8" x14ac:dyDescent="0.25">
      <c r="C69" s="50" t="s">
        <v>42</v>
      </c>
      <c r="D69" s="55" t="str">
        <f>IF(D67 &gt; D68,"a &gt; l/3",IF(D67 = D68,"a = l/3","a &lt; l/3"))</f>
        <v>a &gt; l/3</v>
      </c>
    </row>
    <row r="70" spans="3:8" x14ac:dyDescent="0.25">
      <c r="C70" s="50" t="s">
        <v>106</v>
      </c>
      <c r="D70" s="49">
        <f>IF(D69=F66,G66,IF(D69=F67,G67,G68))</f>
        <v>1818.0989328992177</v>
      </c>
    </row>
    <row r="71" spans="3:8" x14ac:dyDescent="0.25">
      <c r="C71" s="50" t="s">
        <v>107</v>
      </c>
      <c r="D71" s="56">
        <f>IF(D69=F66,H66,IF(D69=F67,H67,H68))</f>
        <v>1183.2831809219206</v>
      </c>
    </row>
    <row r="72" spans="3:8" ht="15.75" thickBot="1" x14ac:dyDescent="0.3">
      <c r="C72" s="32" t="s">
        <v>108</v>
      </c>
      <c r="D72" s="54">
        <f>IF(D70&gt;D71, D70, D71)</f>
        <v>1818.0989328992177</v>
      </c>
    </row>
    <row r="73" spans="3:8" ht="15.75" thickBot="1" x14ac:dyDescent="0.3"/>
    <row r="74" spans="3:8" ht="15.75" customHeight="1" x14ac:dyDescent="0.25">
      <c r="C74" s="226" t="str">
        <f>IF(D19&gt;D72, "qa &gt; q", "qa &lt; q")</f>
        <v>qa &gt; q</v>
      </c>
      <c r="D74" s="227"/>
      <c r="E74" s="230" t="str">
        <f>IF(D19&gt;D72,"OK!","REDESIGN")</f>
        <v>OK!</v>
      </c>
    </row>
    <row r="75" spans="3:8" ht="15.75" thickBot="1" x14ac:dyDescent="0.3">
      <c r="C75" s="228"/>
      <c r="D75" s="229"/>
      <c r="E75" s="230"/>
    </row>
    <row r="77" spans="3:8" ht="15.75" thickBot="1" x14ac:dyDescent="0.3"/>
    <row r="78" spans="3:8" x14ac:dyDescent="0.25">
      <c r="F78" s="38" t="s">
        <v>43</v>
      </c>
      <c r="G78" s="39" t="s">
        <v>34</v>
      </c>
      <c r="H78" s="40" t="s">
        <v>35</v>
      </c>
    </row>
    <row r="79" spans="3:8" ht="15.75" thickBot="1" x14ac:dyDescent="0.3">
      <c r="F79" s="57" t="str">
        <f>I43</f>
        <v>OK!</v>
      </c>
      <c r="G79" s="58" t="str">
        <f>E59</f>
        <v>OK!</v>
      </c>
      <c r="H79" s="59" t="str">
        <f>E74</f>
        <v>OK!</v>
      </c>
    </row>
    <row r="81" spans="3:31" ht="15.75" thickBot="1" x14ac:dyDescent="0.3"/>
    <row r="82" spans="3:31" ht="24" customHeight="1" thickBot="1" x14ac:dyDescent="0.3">
      <c r="C82" s="231" t="s">
        <v>52</v>
      </c>
      <c r="D82" s="232"/>
      <c r="E82" s="232"/>
      <c r="F82" s="232"/>
      <c r="G82" s="233"/>
      <c r="O82" s="10" t="str">
        <f>N2</f>
        <v>1.25ft</v>
      </c>
    </row>
    <row r="83" spans="3:31" ht="20.25" customHeight="1" thickTop="1" thickBot="1" x14ac:dyDescent="0.3">
      <c r="C83" s="234"/>
      <c r="D83" s="235"/>
      <c r="E83" s="235"/>
      <c r="F83" s="235"/>
      <c r="G83" s="236"/>
      <c r="N83" s="182"/>
      <c r="O83" s="202"/>
      <c r="P83" s="186" t="str">
        <f>R3</f>
        <v>14.5ft</v>
      </c>
    </row>
    <row r="84" spans="3:31" x14ac:dyDescent="0.25">
      <c r="N84" s="182"/>
      <c r="O84" s="237"/>
      <c r="P84" s="186"/>
    </row>
    <row r="85" spans="3:31" ht="15.75" thickBot="1" x14ac:dyDescent="0.3">
      <c r="N85" s="182"/>
      <c r="O85" s="237"/>
      <c r="P85" s="186"/>
    </row>
    <row r="86" spans="3:31" ht="21.75" thickBot="1" x14ac:dyDescent="0.4">
      <c r="C86" s="239" t="s">
        <v>53</v>
      </c>
      <c r="D86" s="240"/>
      <c r="E86" s="240"/>
      <c r="F86" s="240"/>
      <c r="G86" s="241"/>
      <c r="N86" s="182"/>
      <c r="O86" s="237"/>
      <c r="P86" s="186"/>
      <c r="Y86" s="60" t="s">
        <v>66</v>
      </c>
      <c r="Z86" s="61" t="s">
        <v>67</v>
      </c>
      <c r="AA86" s="61" t="s">
        <v>68</v>
      </c>
      <c r="AB86" s="61" t="s">
        <v>69</v>
      </c>
      <c r="AC86" s="61" t="s">
        <v>70</v>
      </c>
      <c r="AD86" s="62" t="s">
        <v>71</v>
      </c>
      <c r="AE86" s="31"/>
    </row>
    <row r="87" spans="3:31" x14ac:dyDescent="0.25">
      <c r="N87" s="182"/>
      <c r="O87" s="237"/>
      <c r="P87" s="186"/>
      <c r="X87">
        <v>2</v>
      </c>
      <c r="Y87" s="63">
        <v>6</v>
      </c>
      <c r="Z87" s="64" t="s">
        <v>72</v>
      </c>
      <c r="AA87" s="65">
        <f>X87/8</f>
        <v>0.25</v>
      </c>
      <c r="AB87" s="64">
        <v>6</v>
      </c>
      <c r="AC87" s="64">
        <v>28.3</v>
      </c>
      <c r="AD87" s="66">
        <f>(PI()/4)*Table14[[#This Row],[Diameter (inch)]]^2</f>
        <v>4.9087385212340517E-2</v>
      </c>
      <c r="AE87" s="31"/>
    </row>
    <row r="88" spans="3:31" ht="15.75" thickBot="1" x14ac:dyDescent="0.3">
      <c r="C88" s="67" t="s">
        <v>57</v>
      </c>
      <c r="D88" s="6">
        <v>1.6</v>
      </c>
      <c r="F88" s="67" t="s">
        <v>62</v>
      </c>
      <c r="G88" s="6">
        <v>2.5</v>
      </c>
      <c r="N88" s="183"/>
      <c r="O88" s="238"/>
      <c r="P88" s="186"/>
      <c r="X88">
        <v>3</v>
      </c>
      <c r="Y88" s="63">
        <v>8</v>
      </c>
      <c r="Z88" s="64" t="s">
        <v>73</v>
      </c>
      <c r="AA88" s="65">
        <f t="shared" ref="AA88:AA96" si="1">X88/8</f>
        <v>0.375</v>
      </c>
      <c r="AB88" s="64">
        <v>8</v>
      </c>
      <c r="AC88" s="64">
        <v>50.3</v>
      </c>
      <c r="AD88" s="66">
        <f>(PI()/4)*Table14[[#This Row],[Diameter (inch)]]^2</f>
        <v>0.11044661672776616</v>
      </c>
      <c r="AE88" s="31"/>
    </row>
    <row r="89" spans="3:31" ht="16.5" thickTop="1" thickBot="1" x14ac:dyDescent="0.3">
      <c r="N89" s="195" t="str">
        <f>F28&amp;"ft"</f>
        <v>1.25ft</v>
      </c>
      <c r="O89" s="195"/>
      <c r="X89">
        <v>4</v>
      </c>
      <c r="Y89" s="63">
        <v>10</v>
      </c>
      <c r="Z89" s="64" t="s">
        <v>74</v>
      </c>
      <c r="AA89" s="65">
        <f t="shared" si="1"/>
        <v>0.5</v>
      </c>
      <c r="AB89" s="64">
        <v>10</v>
      </c>
      <c r="AC89" s="64">
        <v>78.5</v>
      </c>
      <c r="AD89" s="66">
        <f>(PI()/4)*Table14[[#This Row],[Diameter (inch)]]^2</f>
        <v>0.19634954084936207</v>
      </c>
      <c r="AE89" s="31"/>
    </row>
    <row r="90" spans="3:31" ht="18" customHeight="1" thickBot="1" x14ac:dyDescent="0.3">
      <c r="E90" s="68" t="str">
        <f xml:space="preserve"> "Factor " &amp; D88</f>
        <v>Factor 1.6</v>
      </c>
      <c r="X90">
        <v>5</v>
      </c>
      <c r="Y90" s="63">
        <v>12</v>
      </c>
      <c r="Z90" s="64" t="s">
        <v>75</v>
      </c>
      <c r="AA90" s="65">
        <f t="shared" si="1"/>
        <v>0.625</v>
      </c>
      <c r="AB90" s="64">
        <v>12</v>
      </c>
      <c r="AC90" s="64">
        <v>113.1</v>
      </c>
      <c r="AD90" s="66">
        <f>(PI()/4)*Table14[[#This Row],[Diameter (inch)]]^2</f>
        <v>0.30679615757712825</v>
      </c>
      <c r="AE90" s="31"/>
    </row>
    <row r="91" spans="3:31" ht="18" customHeight="1" thickBot="1" x14ac:dyDescent="0.3">
      <c r="C91" s="69" t="s">
        <v>54</v>
      </c>
      <c r="D91" s="70">
        <f>1/2*(D42)*(D16)*U6*U6</f>
        <v>4199.0718107551847</v>
      </c>
      <c r="E91" s="71">
        <f>D91*D88</f>
        <v>6718.5148972082961</v>
      </c>
      <c r="G91" s="263" t="s">
        <v>90</v>
      </c>
      <c r="H91" s="264"/>
      <c r="I91" s="72"/>
      <c r="X91">
        <v>6</v>
      </c>
      <c r="Y91" s="63">
        <v>16</v>
      </c>
      <c r="Z91" s="64" t="s">
        <v>76</v>
      </c>
      <c r="AA91" s="65">
        <f t="shared" si="1"/>
        <v>0.75</v>
      </c>
      <c r="AB91" s="64">
        <v>16</v>
      </c>
      <c r="AC91" s="64">
        <v>201.1</v>
      </c>
      <c r="AD91" s="66">
        <f>(PI()/4)*Table14[[#This Row],[Diameter (inch)]]^2</f>
        <v>0.44178646691106466</v>
      </c>
      <c r="AE91" s="31"/>
    </row>
    <row r="92" spans="3:31" ht="18" customHeight="1" x14ac:dyDescent="0.25">
      <c r="C92" s="23" t="s">
        <v>55</v>
      </c>
      <c r="D92" s="65">
        <f>D42*D16*D44*U6</f>
        <v>0</v>
      </c>
      <c r="E92" s="73">
        <f>D92*D88</f>
        <v>0</v>
      </c>
      <c r="G92" s="74" t="s">
        <v>91</v>
      </c>
      <c r="H92" s="75">
        <f>E93</f>
        <v>6718.5148972082961</v>
      </c>
      <c r="I92" s="230" t="str">
        <f>IF(H93&gt;H92,"OK!","REDESIGN")</f>
        <v>OK!</v>
      </c>
      <c r="X92">
        <v>7</v>
      </c>
      <c r="Y92" s="63">
        <v>20</v>
      </c>
      <c r="Z92" s="64" t="s">
        <v>77</v>
      </c>
      <c r="AA92" s="65">
        <f t="shared" si="1"/>
        <v>0.875</v>
      </c>
      <c r="AB92" s="64">
        <v>20</v>
      </c>
      <c r="AC92" s="64">
        <v>314.2</v>
      </c>
      <c r="AD92" s="66">
        <f>(PI()/4)*Table14[[#This Row],[Diameter (inch)]]^2</f>
        <v>0.6013204688511713</v>
      </c>
      <c r="AE92" s="31"/>
    </row>
    <row r="93" spans="3:31" ht="18" customHeight="1" thickBot="1" x14ac:dyDescent="0.3">
      <c r="C93" s="23" t="s">
        <v>56</v>
      </c>
      <c r="D93" s="65">
        <f>D91+D92</f>
        <v>4199.0718107551847</v>
      </c>
      <c r="E93" s="73">
        <f>D93*D88</f>
        <v>6718.5148972082961</v>
      </c>
      <c r="G93" s="32" t="s">
        <v>92</v>
      </c>
      <c r="H93" s="37">
        <f>0.75*2*SQRT(D14)*D96*D97</f>
        <v>12323.757543866237</v>
      </c>
      <c r="I93" s="230"/>
      <c r="X93">
        <v>8</v>
      </c>
      <c r="Y93" s="63">
        <v>25</v>
      </c>
      <c r="Z93" s="64" t="s">
        <v>78</v>
      </c>
      <c r="AA93" s="65">
        <f t="shared" si="1"/>
        <v>1</v>
      </c>
      <c r="AB93" s="64">
        <v>25</v>
      </c>
      <c r="AC93" s="64">
        <v>490.9</v>
      </c>
      <c r="AD93" s="66">
        <f>(PI()/4)*Table14[[#This Row],[Diameter (inch)]]^2</f>
        <v>0.78539816339744828</v>
      </c>
      <c r="AE93" s="31"/>
    </row>
    <row r="94" spans="3:31" ht="18" customHeight="1" thickBot="1" x14ac:dyDescent="0.3">
      <c r="C94" s="25" t="s">
        <v>58</v>
      </c>
      <c r="D94" s="76">
        <f>(D91*U6/3)+(D92*(U6*2/3))</f>
        <v>20295.513751983392</v>
      </c>
      <c r="E94" s="77">
        <f>(E91*U6/3)+(E92*(U6*2/3))</f>
        <v>32472.822003173434</v>
      </c>
      <c r="X94">
        <v>10</v>
      </c>
      <c r="Y94" s="63">
        <v>32</v>
      </c>
      <c r="Z94" s="64" t="s">
        <v>79</v>
      </c>
      <c r="AA94" s="65">
        <f t="shared" si="1"/>
        <v>1.25</v>
      </c>
      <c r="AB94" s="64">
        <v>32</v>
      </c>
      <c r="AC94" s="64">
        <v>804.2</v>
      </c>
      <c r="AD94" s="66">
        <f>(PI()/4)*Table14[[#This Row],[Diameter (inch)]]^2</f>
        <v>1.227184630308513</v>
      </c>
      <c r="AE94" s="31"/>
    </row>
    <row r="95" spans="3:31" ht="15.75" thickBot="1" x14ac:dyDescent="0.3">
      <c r="X95">
        <v>13</v>
      </c>
      <c r="Y95" s="63">
        <v>40</v>
      </c>
      <c r="Z95" s="64" t="s">
        <v>80</v>
      </c>
      <c r="AA95" s="65">
        <f t="shared" si="1"/>
        <v>1.625</v>
      </c>
      <c r="AB95" s="64">
        <v>40</v>
      </c>
      <c r="AC95" s="64">
        <v>1256.5999999999999</v>
      </c>
      <c r="AD95" s="66">
        <f>(PI()/4)*Table14[[#This Row],[Diameter (inch)]]^2</f>
        <v>2.0739420252213869</v>
      </c>
      <c r="AE95" s="31"/>
    </row>
    <row r="96" spans="3:31" x14ac:dyDescent="0.25">
      <c r="C96" s="69" t="s">
        <v>64</v>
      </c>
      <c r="D96" s="78">
        <v>12</v>
      </c>
      <c r="X96">
        <v>16</v>
      </c>
      <c r="Y96" s="79">
        <v>50</v>
      </c>
      <c r="Z96" s="80" t="s">
        <v>81</v>
      </c>
      <c r="AA96" s="65">
        <f t="shared" si="1"/>
        <v>2</v>
      </c>
      <c r="AB96" s="80">
        <v>50</v>
      </c>
      <c r="AC96" s="80">
        <v>1963.5</v>
      </c>
      <c r="AD96" s="66">
        <f>(PI()/4)*Table14[[#This Row],[Diameter (inch)]]^2</f>
        <v>3.1415926535897931</v>
      </c>
      <c r="AE96" s="31"/>
    </row>
    <row r="97" spans="3:34" x14ac:dyDescent="0.25">
      <c r="C97" s="23" t="s">
        <v>63</v>
      </c>
      <c r="D97" s="81">
        <f>(F28-(G88/12))*12</f>
        <v>12.5</v>
      </c>
      <c r="Y97" s="31"/>
      <c r="Z97" s="31"/>
      <c r="AA97" s="31"/>
      <c r="AB97" s="31"/>
      <c r="AC97" s="31"/>
      <c r="AD97" s="31"/>
      <c r="AE97" s="31"/>
      <c r="AF97" s="31"/>
      <c r="AG97" s="31"/>
      <c r="AH97" s="31"/>
    </row>
    <row r="98" spans="3:34" x14ac:dyDescent="0.25">
      <c r="C98" s="23" t="s">
        <v>61</v>
      </c>
      <c r="D98" s="82">
        <f>((0.85*D14)/D15)*(1-(SQRT(1-(2*E94*12)/(0.85*0.9*D14*D96*D97^2))))</f>
        <v>4.0407178207157828E-3</v>
      </c>
      <c r="Y98" s="31"/>
      <c r="Z98" s="31"/>
      <c r="AA98" s="31"/>
      <c r="AB98" s="31"/>
      <c r="AC98" s="31"/>
      <c r="AD98" s="31"/>
      <c r="AE98" s="31"/>
      <c r="AF98" s="31"/>
      <c r="AG98" s="31"/>
      <c r="AH98" s="31"/>
    </row>
    <row r="99" spans="3:34" ht="18" thickBot="1" x14ac:dyDescent="0.3">
      <c r="C99" s="25" t="s">
        <v>65</v>
      </c>
      <c r="D99" s="83">
        <f>D98*D97*D96</f>
        <v>0.60610767310736746</v>
      </c>
      <c r="AF99" s="31"/>
      <c r="AG99" s="31"/>
      <c r="AH99" s="31"/>
    </row>
    <row r="100" spans="3:34" x14ac:dyDescent="0.25">
      <c r="AF100" s="31"/>
      <c r="AG100" s="31"/>
      <c r="AH100" s="31"/>
    </row>
    <row r="101" spans="3:34" ht="18" customHeight="1" x14ac:dyDescent="0.25">
      <c r="C101" s="255" t="s">
        <v>101</v>
      </c>
      <c r="D101" s="67" t="s">
        <v>99</v>
      </c>
      <c r="E101" s="82">
        <f>200/D15</f>
        <v>3.3333333333333335E-3</v>
      </c>
      <c r="AF101" s="31"/>
      <c r="AG101" s="31"/>
      <c r="AH101" s="31"/>
    </row>
    <row r="102" spans="3:34" ht="18" customHeight="1" x14ac:dyDescent="0.25">
      <c r="C102" s="255"/>
      <c r="D102" s="67" t="s">
        <v>100</v>
      </c>
      <c r="E102" s="82">
        <f>((3*SQRT(D14)/D15))</f>
        <v>2.7386127875258306E-3</v>
      </c>
      <c r="AF102" s="31"/>
      <c r="AG102" s="31"/>
      <c r="AH102" s="31"/>
    </row>
    <row r="103" spans="3:34" ht="18" customHeight="1" thickBot="1" x14ac:dyDescent="0.3">
      <c r="AF103" s="31"/>
      <c r="AG103" s="31"/>
      <c r="AH103" s="31"/>
    </row>
    <row r="104" spans="3:34" ht="18" customHeight="1" thickBot="1" x14ac:dyDescent="0.3">
      <c r="C104" s="26" t="s">
        <v>102</v>
      </c>
      <c r="D104" s="84">
        <f>IF(AND(D98&gt;E101, D98&gt;E102),
     D98*D96*D97,
     IF(AND(E101&gt;D98, E101&gt;E102),
         E101*D96*D97,
         E102*D96*D97
     )
)</f>
        <v>0.60610767310736746</v>
      </c>
      <c r="AF104" s="31"/>
      <c r="AG104" s="31"/>
      <c r="AH104" s="31"/>
    </row>
    <row r="105" spans="3:34" ht="18" customHeight="1" thickBot="1" x14ac:dyDescent="0.3">
      <c r="AF105" s="31"/>
      <c r="AG105" s="31"/>
      <c r="AH105" s="31"/>
    </row>
    <row r="106" spans="3:34" ht="18" customHeight="1" thickBot="1" x14ac:dyDescent="0.3">
      <c r="C106" s="256" t="s">
        <v>110</v>
      </c>
      <c r="D106" s="257"/>
      <c r="E106" s="258"/>
      <c r="AF106" s="31"/>
      <c r="AG106" s="31"/>
      <c r="AH106" s="31"/>
    </row>
    <row r="107" spans="3:34" ht="18" customHeight="1" x14ac:dyDescent="0.25">
      <c r="C107" s="85" t="s">
        <v>83</v>
      </c>
      <c r="D107" s="86" t="s">
        <v>82</v>
      </c>
      <c r="E107" s="87" t="s">
        <v>89</v>
      </c>
      <c r="F107" s="259" t="str">
        <f>C108&amp;" @ "&amp;E108&amp;" c/c"</f>
        <v>#7 @ 11 c/c</v>
      </c>
      <c r="AF107" s="31"/>
      <c r="AG107" s="31"/>
      <c r="AH107" s="31"/>
    </row>
    <row r="108" spans="3:34" ht="18" customHeight="1" thickBot="1" x14ac:dyDescent="0.3">
      <c r="C108" s="3" t="s">
        <v>77</v>
      </c>
      <c r="D108" s="88">
        <f>_xlfn.XLOOKUP(C108,Table14[Inch-Pound Bar No.],Table14[Area (inch²)],"Change Bar No")</f>
        <v>0.6013204688511713</v>
      </c>
      <c r="E108" s="89">
        <f>ROUNDDOWN(((D108/D104)*12),0.1)</f>
        <v>11</v>
      </c>
      <c r="F108" s="259"/>
      <c r="AF108" s="31"/>
      <c r="AG108" s="31"/>
      <c r="AH108" s="31"/>
    </row>
    <row r="109" spans="3:34" ht="18" customHeight="1" thickBot="1" x14ac:dyDescent="0.3">
      <c r="AF109" s="31"/>
      <c r="AG109" s="31"/>
      <c r="AH109" s="31"/>
    </row>
    <row r="110" spans="3:34" ht="18" customHeight="1" thickBot="1" x14ac:dyDescent="0.3">
      <c r="C110" s="260" t="s">
        <v>85</v>
      </c>
      <c r="D110" s="261"/>
      <c r="E110" s="261"/>
      <c r="F110" s="261"/>
      <c r="G110" s="262"/>
      <c r="AF110" s="31"/>
      <c r="AG110" s="31"/>
      <c r="AH110" s="31"/>
    </row>
    <row r="111" spans="3:34" ht="18" customHeight="1" thickBot="1" x14ac:dyDescent="0.3">
      <c r="C111" s="222" t="s">
        <v>86</v>
      </c>
      <c r="D111" s="223"/>
      <c r="E111" s="265">
        <f>0.0025*D96*(((F24*12)+(F28*12))/2)</f>
        <v>0.44999999999999996</v>
      </c>
      <c r="F111" s="265"/>
      <c r="G111" s="266"/>
      <c r="AF111" s="31"/>
      <c r="AG111" s="31"/>
      <c r="AH111" s="31"/>
    </row>
    <row r="112" spans="3:34" ht="18" customHeight="1" x14ac:dyDescent="0.25">
      <c r="C112" s="271" t="s">
        <v>87</v>
      </c>
      <c r="D112" s="273">
        <f>E111*2/3</f>
        <v>0.3</v>
      </c>
      <c r="E112" s="90" t="s">
        <v>83</v>
      </c>
      <c r="F112" s="91" t="s">
        <v>82</v>
      </c>
      <c r="G112" s="40" t="s">
        <v>89</v>
      </c>
      <c r="H112" s="270" t="str">
        <f>E113&amp;" @ "&amp;G113&amp;" c/c"</f>
        <v>#4 @ 7 c/c</v>
      </c>
      <c r="AF112" s="31"/>
      <c r="AG112" s="31"/>
      <c r="AH112" s="31"/>
    </row>
    <row r="113" spans="3:34" ht="18" customHeight="1" thickBot="1" x14ac:dyDescent="0.3">
      <c r="C113" s="272"/>
      <c r="D113" s="274"/>
      <c r="E113" s="3" t="s">
        <v>74</v>
      </c>
      <c r="F113" s="92">
        <f>_xlfn.XLOOKUP(E113,Table14[Inch-Pound Bar No.],Table14[Area (inch²)],"Change Bar No")</f>
        <v>0.19634954084936207</v>
      </c>
      <c r="G113" s="89">
        <f>ROUNDDOWN(((F113/D112)*12),0.1)</f>
        <v>7</v>
      </c>
      <c r="H113" s="270"/>
      <c r="AF113" s="31"/>
      <c r="AG113" s="31"/>
      <c r="AH113" s="31"/>
    </row>
    <row r="114" spans="3:34" ht="18" customHeight="1" x14ac:dyDescent="0.25">
      <c r="C114" s="275" t="s">
        <v>88</v>
      </c>
      <c r="D114" s="277">
        <f>E111*1/3</f>
        <v>0.15</v>
      </c>
      <c r="E114" s="93" t="s">
        <v>83</v>
      </c>
      <c r="F114" s="94" t="s">
        <v>82</v>
      </c>
      <c r="G114" s="95" t="s">
        <v>89</v>
      </c>
      <c r="H114" s="270" t="str">
        <f>E115&amp;" @ "&amp;G115&amp;" c/c"</f>
        <v>#4 @ 15 c/c</v>
      </c>
      <c r="AF114" s="31"/>
      <c r="AG114" s="31"/>
      <c r="AH114" s="31"/>
    </row>
    <row r="115" spans="3:34" ht="18" customHeight="1" thickBot="1" x14ac:dyDescent="0.3">
      <c r="C115" s="276"/>
      <c r="D115" s="278"/>
      <c r="E115" s="3" t="s">
        <v>74</v>
      </c>
      <c r="F115" s="92">
        <f>_xlfn.XLOOKUP(E115,Table14[Inch-Pound Bar No.],Table14[Area (inch²)],"Change Bar No")</f>
        <v>0.19634954084936207</v>
      </c>
      <c r="G115" s="89">
        <f>ROUNDDOWN(((F115/D114)*12),0.1)</f>
        <v>15</v>
      </c>
      <c r="H115" s="270"/>
      <c r="AF115" s="31"/>
      <c r="AG115" s="31"/>
      <c r="AH115" s="31"/>
    </row>
    <row r="116" spans="3:34" x14ac:dyDescent="0.25">
      <c r="AF116" s="31"/>
      <c r="AG116" s="31"/>
      <c r="AH116" s="31"/>
    </row>
    <row r="117" spans="3:34" x14ac:dyDescent="0.25">
      <c r="AF117" s="31"/>
      <c r="AG117" s="31"/>
      <c r="AH117" s="31"/>
    </row>
    <row r="118" spans="3:34" x14ac:dyDescent="0.25">
      <c r="AF118" s="31"/>
      <c r="AG118" s="31"/>
      <c r="AH118" s="31"/>
    </row>
    <row r="119" spans="3:34" ht="15.75" thickBot="1" x14ac:dyDescent="0.3">
      <c r="AF119" s="31"/>
      <c r="AG119" s="31"/>
      <c r="AH119" s="31"/>
    </row>
    <row r="120" spans="3:34" ht="15.75" thickBot="1" x14ac:dyDescent="0.3">
      <c r="C120" s="267" t="s">
        <v>111</v>
      </c>
      <c r="D120" s="268"/>
      <c r="E120" s="269"/>
      <c r="AF120" s="31"/>
      <c r="AG120" s="31"/>
      <c r="AH120" s="31"/>
    </row>
    <row r="121" spans="3:34" ht="15.75" thickBot="1" x14ac:dyDescent="0.3">
      <c r="C121" s="224" t="s">
        <v>112</v>
      </c>
      <c r="D121" s="225"/>
      <c r="E121" s="96">
        <f>0.0015*D96*D97</f>
        <v>0.22500000000000003</v>
      </c>
      <c r="AF121" s="31"/>
      <c r="AG121" s="31"/>
      <c r="AH121" s="31"/>
    </row>
    <row r="122" spans="3:34" ht="17.25" x14ac:dyDescent="0.25">
      <c r="C122" s="97" t="s">
        <v>83</v>
      </c>
      <c r="D122" s="98" t="s">
        <v>82</v>
      </c>
      <c r="E122" s="99" t="s">
        <v>89</v>
      </c>
      <c r="F122" s="270" t="str">
        <f>C123&amp;" @ "&amp;E123&amp;" c/c"</f>
        <v>#6 @ 23 c/c</v>
      </c>
      <c r="AF122" s="31"/>
      <c r="AG122" s="31"/>
      <c r="AH122" s="31"/>
    </row>
    <row r="123" spans="3:34" ht="15.75" thickBot="1" x14ac:dyDescent="0.3">
      <c r="C123" s="3" t="s">
        <v>76</v>
      </c>
      <c r="D123" s="88">
        <f>_xlfn.XLOOKUP(C123,Table14[Inch-Pound Bar No.],Table14[Area (inch²)],"Change Bar No")</f>
        <v>0.44178646691106466</v>
      </c>
      <c r="E123" s="89">
        <f>ROUNDDOWN(((D123/E121)*12),0.1)</f>
        <v>23</v>
      </c>
      <c r="F123" s="270"/>
      <c r="AF123" s="31"/>
      <c r="AG123" s="31"/>
      <c r="AH123" s="31"/>
    </row>
    <row r="124" spans="3:34" ht="15.75" thickBot="1" x14ac:dyDescent="0.3">
      <c r="AF124" s="31"/>
      <c r="AG124" s="31"/>
      <c r="AH124" s="31"/>
    </row>
    <row r="125" spans="3:34" ht="15" customHeight="1" x14ac:dyDescent="0.25">
      <c r="C125" s="206" t="s">
        <v>150</v>
      </c>
      <c r="D125" s="207"/>
      <c r="E125" s="207"/>
      <c r="F125" s="207"/>
      <c r="G125" s="207"/>
      <c r="H125" s="207"/>
      <c r="I125" s="207"/>
      <c r="J125" s="207"/>
      <c r="K125" s="207"/>
      <c r="L125" s="208"/>
      <c r="AF125" s="31"/>
      <c r="AG125" s="31"/>
      <c r="AH125" s="31"/>
    </row>
    <row r="126" spans="3:34" ht="15.75" customHeight="1" thickBot="1" x14ac:dyDescent="0.3">
      <c r="C126" s="209"/>
      <c r="D126" s="210"/>
      <c r="E126" s="210"/>
      <c r="F126" s="210"/>
      <c r="G126" s="210"/>
      <c r="H126" s="210"/>
      <c r="I126" s="210"/>
      <c r="J126" s="210"/>
      <c r="K126" s="210"/>
      <c r="L126" s="211"/>
      <c r="AF126" s="31"/>
      <c r="AG126" s="31"/>
      <c r="AH126" s="31"/>
    </row>
    <row r="127" spans="3:34" ht="15.75" customHeight="1" thickBot="1" x14ac:dyDescent="0.3">
      <c r="AF127" s="31"/>
      <c r="AG127" s="31"/>
      <c r="AH127" s="31"/>
    </row>
    <row r="128" spans="3:34" ht="15.75" thickBot="1" x14ac:dyDescent="0.3">
      <c r="E128" s="164" t="s">
        <v>151</v>
      </c>
      <c r="AF128" s="31"/>
      <c r="AG128" s="31"/>
      <c r="AH128" s="31"/>
    </row>
    <row r="129" spans="3:34" ht="15.75" thickBot="1" x14ac:dyDescent="0.3">
      <c r="C129" s="154" t="s">
        <v>147</v>
      </c>
      <c r="D129" s="155">
        <f>U6</f>
        <v>14.5</v>
      </c>
      <c r="E129" s="160">
        <f>D129/5</f>
        <v>2.9</v>
      </c>
      <c r="AF129" s="31"/>
      <c r="AG129" s="31"/>
      <c r="AH129" s="31"/>
    </row>
    <row r="130" spans="3:34" ht="15.75" thickBot="1" x14ac:dyDescent="0.3">
      <c r="AF130" s="31"/>
      <c r="AG130" s="31"/>
      <c r="AH130" s="31"/>
    </row>
    <row r="131" spans="3:34" ht="18.75" thickBot="1" x14ac:dyDescent="0.3">
      <c r="C131" s="154" t="s">
        <v>146</v>
      </c>
      <c r="D131" s="155" t="s">
        <v>58</v>
      </c>
      <c r="E131" s="155" t="s">
        <v>148</v>
      </c>
      <c r="F131" s="155" t="s">
        <v>61</v>
      </c>
      <c r="G131" s="155" t="s">
        <v>101</v>
      </c>
      <c r="H131" s="155" t="s">
        <v>149</v>
      </c>
      <c r="I131" s="155" t="s">
        <v>65</v>
      </c>
      <c r="J131" s="163" t="s">
        <v>83</v>
      </c>
      <c r="K131" s="163" t="s">
        <v>82</v>
      </c>
      <c r="L131" s="160" t="s">
        <v>89</v>
      </c>
    </row>
    <row r="132" spans="3:34" x14ac:dyDescent="0.25">
      <c r="C132" s="279">
        <f>E129</f>
        <v>2.9</v>
      </c>
      <c r="D132" s="282">
        <f>($E$91*C132/3)+($E$92*(C132*2/3))</f>
        <v>6494.5644006346856</v>
      </c>
      <c r="E132" s="166">
        <f>(($F$24)+IF($U$7=0,0,((C132*$U$7)/$U$6)))-($G$88/12)</f>
        <v>1.0416666666666667</v>
      </c>
      <c r="F132" s="177">
        <f>((0.85*$D$14)/$D$15)*(1-(SQRT(1-((2*D132*12)/(0.85*0.9*$D$14*$D$96*(E132*12)^2)))))</f>
        <v>7.7682565828479687E-4</v>
      </c>
      <c r="G132" s="162">
        <f>$E$101</f>
        <v>3.3333333333333335E-3</v>
      </c>
      <c r="H132" s="178">
        <f>IF(AND(F132&gt;G132,F132&gt;G133),F132,IF(AND(G132&gt;F132,G132&gt;G133),G132,G133))</f>
        <v>3.3333333333333335E-3</v>
      </c>
      <c r="I132" s="166">
        <f>H132*$D$96*E132*12</f>
        <v>0.5</v>
      </c>
      <c r="J132" s="169" t="s">
        <v>76</v>
      </c>
      <c r="K132" s="171">
        <f>_xlfn.XLOOKUP(J132,Table14[Inch-Pound Bar No.],Table14[Area (inch²)],"Change Bar No")</f>
        <v>0.44178646691106466</v>
      </c>
      <c r="L132" s="205">
        <f>ROUNDDOWN(((K132/I132)*12),0.1)</f>
        <v>10</v>
      </c>
    </row>
    <row r="133" spans="3:34" x14ac:dyDescent="0.25">
      <c r="C133" s="280"/>
      <c r="D133" s="283"/>
      <c r="E133" s="167"/>
      <c r="F133" s="175"/>
      <c r="G133" s="159">
        <f>$E$102</f>
        <v>2.7386127875258306E-3</v>
      </c>
      <c r="H133" s="179"/>
      <c r="I133" s="167"/>
      <c r="J133" s="170"/>
      <c r="K133" s="172"/>
      <c r="L133" s="203"/>
    </row>
    <row r="134" spans="3:34" x14ac:dyDescent="0.25">
      <c r="C134" s="280">
        <f>C132*2</f>
        <v>5.8</v>
      </c>
      <c r="D134" s="283">
        <f t="shared" ref="D134:D140" si="2">($E$91*C134/3)+($E$92*(C134*2/3))</f>
        <v>12989.128801269371</v>
      </c>
      <c r="E134" s="166">
        <f t="shared" ref="E134:E141" si="3">(($F$24)+IF($U$7=0,0,((C134*$U$7)/$U$6)))-($G$88/12)</f>
        <v>1.0416666666666667</v>
      </c>
      <c r="F134" s="175">
        <f t="shared" ref="F134:F140" si="4">((0.85*$D$14)/$D$15)*(1-(SQRT(1-((2*D134*12)/(0.85*0.9*$D$14*$D$96*(E134*12)^2)))))</f>
        <v>1.5683917455186806E-3</v>
      </c>
      <c r="G134" s="159">
        <f>$E$101</f>
        <v>3.3333333333333335E-3</v>
      </c>
      <c r="H134" s="179">
        <f t="shared" ref="H134" si="5">IF(AND(F134&gt;G134,F134&gt;G135),F134,IF(AND(G134&gt;F134,G134&gt;G135),G134,G135))</f>
        <v>3.3333333333333335E-3</v>
      </c>
      <c r="I134" s="167">
        <f t="shared" ref="I134" si="6">H134*$D$96*E134*12</f>
        <v>0.5</v>
      </c>
      <c r="J134" s="170" t="s">
        <v>76</v>
      </c>
      <c r="K134" s="172">
        <f>_xlfn.XLOOKUP(J134,Table14[Inch-Pound Bar No.],Table14[Area (inch²)],"Change Bar No")</f>
        <v>0.44178646691106466</v>
      </c>
      <c r="L134" s="203">
        <f t="shared" ref="L134" si="7">ROUNDDOWN(((K134/I134)*12),0.1)</f>
        <v>10</v>
      </c>
    </row>
    <row r="135" spans="3:34" x14ac:dyDescent="0.25">
      <c r="C135" s="280"/>
      <c r="D135" s="283"/>
      <c r="E135" s="167"/>
      <c r="F135" s="175"/>
      <c r="G135" s="159">
        <f>$E$102</f>
        <v>2.7386127875258306E-3</v>
      </c>
      <c r="H135" s="179"/>
      <c r="I135" s="167"/>
      <c r="J135" s="170"/>
      <c r="K135" s="172"/>
      <c r="L135" s="203"/>
    </row>
    <row r="136" spans="3:34" x14ac:dyDescent="0.25">
      <c r="C136" s="280">
        <f>C132*3</f>
        <v>8.6999999999999993</v>
      </c>
      <c r="D136" s="283">
        <f t="shared" si="2"/>
        <v>19483.693201904058</v>
      </c>
      <c r="E136" s="166">
        <f t="shared" ref="E136:E141" si="8">(($F$24)+IF($U$7=0,0,((C136*$U$7)/$U$6)))-($G$88/12)</f>
        <v>1.0416666666666667</v>
      </c>
      <c r="F136" s="175">
        <f t="shared" si="4"/>
        <v>2.3755706402261109E-3</v>
      </c>
      <c r="G136" s="159">
        <f>$E$101</f>
        <v>3.3333333333333335E-3</v>
      </c>
      <c r="H136" s="179">
        <f t="shared" ref="H136" si="9">IF(AND(F136&gt;G136,F136&gt;G137),F136,IF(AND(G136&gt;F136,G136&gt;G137),G136,G137))</f>
        <v>3.3333333333333335E-3</v>
      </c>
      <c r="I136" s="167">
        <f t="shared" ref="I136" si="10">H136*$D$96*E136*12</f>
        <v>0.5</v>
      </c>
      <c r="J136" s="170" t="s">
        <v>76</v>
      </c>
      <c r="K136" s="172">
        <f>_xlfn.XLOOKUP(J136,Table14[Inch-Pound Bar No.],Table14[Area (inch²)],"Change Bar No")</f>
        <v>0.44178646691106466</v>
      </c>
      <c r="L136" s="203">
        <f t="shared" ref="L136" si="11">ROUNDDOWN(((K136/I136)*12),0.1)</f>
        <v>10</v>
      </c>
    </row>
    <row r="137" spans="3:34" x14ac:dyDescent="0.25">
      <c r="C137" s="280"/>
      <c r="D137" s="283"/>
      <c r="E137" s="167"/>
      <c r="F137" s="175"/>
      <c r="G137" s="159">
        <f>$E$102</f>
        <v>2.7386127875258306E-3</v>
      </c>
      <c r="H137" s="179"/>
      <c r="I137" s="167"/>
      <c r="J137" s="170"/>
      <c r="K137" s="172"/>
      <c r="L137" s="203"/>
    </row>
    <row r="138" spans="3:34" x14ac:dyDescent="0.25">
      <c r="C138" s="280">
        <f>C132*4</f>
        <v>11.6</v>
      </c>
      <c r="D138" s="283">
        <f t="shared" si="2"/>
        <v>25978.257602538743</v>
      </c>
      <c r="E138" s="166">
        <f t="shared" ref="E138:E141" si="12">(($F$24)+IF($U$7=0,0,((C138*$U$7)/$U$6)))-($G$88/12)</f>
        <v>1.0416666666666667</v>
      </c>
      <c r="F138" s="175">
        <f t="shared" si="4"/>
        <v>3.199324323917192E-3</v>
      </c>
      <c r="G138" s="159">
        <f>$E$101</f>
        <v>3.3333333333333335E-3</v>
      </c>
      <c r="H138" s="179">
        <f t="shared" ref="H138" si="13">IF(AND(F138&gt;G138,F138&gt;G139),F138,IF(AND(G138&gt;F138,G138&gt;G139),G138,G139))</f>
        <v>3.3333333333333335E-3</v>
      </c>
      <c r="I138" s="167">
        <f t="shared" ref="I138" si="14">H138*$D$96*E138*12</f>
        <v>0.5</v>
      </c>
      <c r="J138" s="170" t="s">
        <v>76</v>
      </c>
      <c r="K138" s="172">
        <f>_xlfn.XLOOKUP(J138,Table14[Inch-Pound Bar No.],Table14[Area (inch²)],"Change Bar No")</f>
        <v>0.44178646691106466</v>
      </c>
      <c r="L138" s="203">
        <f t="shared" ref="L138" si="15">ROUNDDOWN(((K138/I138)*12),0.1)</f>
        <v>10</v>
      </c>
    </row>
    <row r="139" spans="3:34" x14ac:dyDescent="0.25">
      <c r="C139" s="280"/>
      <c r="D139" s="283"/>
      <c r="E139" s="167"/>
      <c r="F139" s="175"/>
      <c r="G139" s="159">
        <f>$E$102</f>
        <v>2.7386127875258306E-3</v>
      </c>
      <c r="H139" s="179"/>
      <c r="I139" s="167"/>
      <c r="J139" s="170"/>
      <c r="K139" s="172"/>
      <c r="L139" s="203"/>
    </row>
    <row r="140" spans="3:34" x14ac:dyDescent="0.25">
      <c r="C140" s="280">
        <f>C132*5</f>
        <v>14.5</v>
      </c>
      <c r="D140" s="283">
        <f t="shared" si="2"/>
        <v>32472.822003173434</v>
      </c>
      <c r="E140" s="166">
        <f t="shared" ref="E140:E141" si="16">(($F$24)+IF($U$7=0,0,((C140*$U$7)/$U$6)))-($G$88/12)</f>
        <v>1.0416666666666667</v>
      </c>
      <c r="F140" s="175">
        <f t="shared" si="4"/>
        <v>4.0407178207157828E-3</v>
      </c>
      <c r="G140" s="159">
        <f>$E$101</f>
        <v>3.3333333333333335E-3</v>
      </c>
      <c r="H140" s="179">
        <f t="shared" ref="H140" si="17">IF(AND(F140&gt;G140,F140&gt;G141),F140,IF(AND(G140&gt;F140,G140&gt;G141),G140,G141))</f>
        <v>4.0407178207157828E-3</v>
      </c>
      <c r="I140" s="167">
        <f t="shared" ref="I140" si="18">H140*$D$96*E140*12</f>
        <v>0.60610767310736746</v>
      </c>
      <c r="J140" s="170" t="s">
        <v>77</v>
      </c>
      <c r="K140" s="172">
        <f>_xlfn.XLOOKUP(J140,Table14[Inch-Pound Bar No.],Table14[Area (inch²)],"Change Bar No")</f>
        <v>0.6013204688511713</v>
      </c>
      <c r="L140" s="203">
        <f t="shared" ref="L140" si="19">ROUNDDOWN(((K140/I140)*12),0.1)</f>
        <v>11</v>
      </c>
    </row>
    <row r="141" spans="3:34" ht="15.75" thickBot="1" x14ac:dyDescent="0.3">
      <c r="C141" s="281"/>
      <c r="D141" s="284"/>
      <c r="E141" s="167"/>
      <c r="F141" s="176"/>
      <c r="G141" s="161">
        <f>$E$102</f>
        <v>2.7386127875258306E-3</v>
      </c>
      <c r="H141" s="180"/>
      <c r="I141" s="168"/>
      <c r="J141" s="173"/>
      <c r="K141" s="174"/>
      <c r="L141" s="204"/>
    </row>
    <row r="146" spans="3:34" ht="15.75" thickBot="1" x14ac:dyDescent="0.3">
      <c r="AE146" s="31"/>
      <c r="AF146" s="31"/>
      <c r="AG146" s="31"/>
      <c r="AH146" s="31"/>
    </row>
    <row r="147" spans="3:34" ht="21.75" thickBot="1" x14ac:dyDescent="0.4">
      <c r="C147" s="239" t="s">
        <v>93</v>
      </c>
      <c r="D147" s="240"/>
      <c r="E147" s="240"/>
      <c r="F147" s="240"/>
      <c r="G147" s="241"/>
      <c r="L147" s="288" t="str">
        <f>O5</f>
        <v>5.6ft</v>
      </c>
      <c r="M147" s="288"/>
      <c r="N147" s="288"/>
      <c r="O147" s="288"/>
      <c r="AE147" s="31"/>
      <c r="AF147" s="31"/>
      <c r="AG147" s="31"/>
      <c r="AH147" s="31"/>
    </row>
    <row r="148" spans="3:34" ht="15.75" thickBot="1" x14ac:dyDescent="0.3">
      <c r="L148" s="289" t="s">
        <v>131</v>
      </c>
      <c r="M148" s="290"/>
      <c r="N148" s="290"/>
      <c r="O148" s="291"/>
      <c r="P148" s="295" t="str">
        <f>R6</f>
        <v>1.5ft</v>
      </c>
      <c r="AE148" s="31"/>
      <c r="AF148" s="31"/>
      <c r="AG148" s="31"/>
      <c r="AH148" s="31"/>
    </row>
    <row r="149" spans="3:34" ht="15.75" thickBot="1" x14ac:dyDescent="0.3">
      <c r="C149" s="100" t="s">
        <v>94</v>
      </c>
      <c r="D149" s="78">
        <f>F34*F30*D17*1</f>
        <v>1214.375</v>
      </c>
      <c r="F149" s="67" t="s">
        <v>97</v>
      </c>
      <c r="G149" s="5">
        <v>3.5</v>
      </c>
      <c r="L149" s="292"/>
      <c r="M149" s="293"/>
      <c r="N149" s="293"/>
      <c r="O149" s="294"/>
      <c r="P149" s="295"/>
      <c r="AE149" s="31"/>
      <c r="AF149" s="31"/>
      <c r="AG149" s="31"/>
      <c r="AH149" s="31"/>
    </row>
    <row r="150" spans="3:34" ht="15.75" thickBot="1" x14ac:dyDescent="0.3">
      <c r="C150" s="101" t="s">
        <v>95</v>
      </c>
      <c r="D150" s="102">
        <f>(U6+D44)*F34*D16*1</f>
        <v>10524.583333333334</v>
      </c>
      <c r="F150" s="67" t="s">
        <v>57</v>
      </c>
      <c r="G150" s="5">
        <v>1.2</v>
      </c>
      <c r="AE150" s="31"/>
      <c r="AF150" s="31"/>
      <c r="AG150" s="31"/>
      <c r="AH150" s="31"/>
    </row>
    <row r="151" spans="3:34" ht="15.75" thickBot="1" x14ac:dyDescent="0.3">
      <c r="AE151" s="31"/>
      <c r="AF151" s="31"/>
      <c r="AG151" s="31"/>
      <c r="AH151" s="31"/>
    </row>
    <row r="152" spans="3:34" x14ac:dyDescent="0.25">
      <c r="C152" s="103" t="s">
        <v>91</v>
      </c>
      <c r="D152" s="78">
        <f>D150+D149</f>
        <v>11738.958333333334</v>
      </c>
      <c r="F152" s="104" t="s">
        <v>63</v>
      </c>
      <c r="G152" s="105">
        <f>(F30-(G149/12))*12</f>
        <v>14.5</v>
      </c>
      <c r="AE152" s="31"/>
      <c r="AF152" s="31"/>
      <c r="AG152" s="31"/>
      <c r="AH152" s="31"/>
    </row>
    <row r="153" spans="3:34" ht="18" x14ac:dyDescent="0.25">
      <c r="C153" s="106" t="s">
        <v>96</v>
      </c>
      <c r="D153" s="107">
        <f>D152*G150</f>
        <v>14086.75</v>
      </c>
      <c r="E153" s="230" t="str">
        <f>IF(D154&gt;D153,"OK!","REDESIGN")</f>
        <v>OK!</v>
      </c>
      <c r="AE153" s="31"/>
      <c r="AF153" s="31"/>
      <c r="AG153" s="31"/>
      <c r="AH153" s="31"/>
    </row>
    <row r="154" spans="3:34" ht="15.75" thickBot="1" x14ac:dyDescent="0.3">
      <c r="C154" s="108" t="s">
        <v>98</v>
      </c>
      <c r="D154" s="37">
        <f>0.75*2*SQRT(D14)*D96*G152</f>
        <v>14295.558750884835</v>
      </c>
      <c r="E154" s="230"/>
      <c r="AE154" s="31"/>
      <c r="AF154" s="31"/>
      <c r="AG154" s="31"/>
      <c r="AH154" s="31"/>
    </row>
    <row r="155" spans="3:34" ht="15.75" thickBot="1" x14ac:dyDescent="0.3"/>
    <row r="156" spans="3:34" ht="15.75" thickBot="1" x14ac:dyDescent="0.3">
      <c r="C156" s="109" t="s">
        <v>58</v>
      </c>
      <c r="D156" s="110">
        <f>D153*F34/2</f>
        <v>39325.510416666672</v>
      </c>
    </row>
    <row r="157" spans="3:34" ht="15.75" thickBot="1" x14ac:dyDescent="0.3">
      <c r="C157" s="109" t="s">
        <v>61</v>
      </c>
      <c r="D157" s="111">
        <f>((0.85*D14)/D15)*(1-(SQRT(1-(2*D156*12)/(0.85*0.9*D14*D96*G152^2))))</f>
        <v>3.6177088930140957E-3</v>
      </c>
    </row>
    <row r="158" spans="3:34" ht="15.75" thickBot="1" x14ac:dyDescent="0.3"/>
    <row r="159" spans="3:34" x14ac:dyDescent="0.25">
      <c r="C159" s="298" t="s">
        <v>101</v>
      </c>
      <c r="D159" s="112" t="s">
        <v>99</v>
      </c>
      <c r="E159" s="113">
        <f>200/D15</f>
        <v>3.3333333333333335E-3</v>
      </c>
    </row>
    <row r="160" spans="3:34" ht="15.75" thickBot="1" x14ac:dyDescent="0.3">
      <c r="C160" s="276"/>
      <c r="D160" s="114" t="s">
        <v>100</v>
      </c>
      <c r="E160" s="115">
        <f>((3*SQRT(D14)/D15))</f>
        <v>2.7386127875258306E-3</v>
      </c>
    </row>
    <row r="161" spans="3:17" ht="15.75" thickBot="1" x14ac:dyDescent="0.3"/>
    <row r="162" spans="3:17" ht="18" thickBot="1" x14ac:dyDescent="0.3">
      <c r="C162" s="26" t="s">
        <v>102</v>
      </c>
      <c r="D162" s="84">
        <f>IF(AND(D157&gt;E159, D157&gt;E160),
     D157*D96*G152,
     IF(AND(E159&gt;D157, E159&gt;E160),
         E159*D96*G152,
         E160*D96*G152
     )
)</f>
        <v>0.62948134738445261</v>
      </c>
    </row>
    <row r="164" spans="3:17" ht="15.75" thickBot="1" x14ac:dyDescent="0.3"/>
    <row r="165" spans="3:17" ht="15.75" thickBot="1" x14ac:dyDescent="0.3">
      <c r="C165" s="256" t="s">
        <v>103</v>
      </c>
      <c r="D165" s="257"/>
      <c r="E165" s="258"/>
    </row>
    <row r="166" spans="3:17" ht="17.25" x14ac:dyDescent="0.25">
      <c r="C166" s="85" t="s">
        <v>83</v>
      </c>
      <c r="D166" s="86" t="s">
        <v>82</v>
      </c>
      <c r="E166" s="87" t="s">
        <v>89</v>
      </c>
      <c r="F166" s="259" t="str">
        <f>C167&amp;" @ "&amp;E167&amp;" c/c"</f>
        <v>#8 @ 14 c/c</v>
      </c>
    </row>
    <row r="167" spans="3:17" ht="15.75" thickBot="1" x14ac:dyDescent="0.3">
      <c r="C167" s="3" t="s">
        <v>78</v>
      </c>
      <c r="D167" s="92">
        <f>_xlfn.XLOOKUP(C167,Table14[Inch-Pound Bar No.],Table14[Area (inch²)],"Change Bar No")</f>
        <v>0.78539816339744828</v>
      </c>
      <c r="E167" s="89">
        <f>ROUNDDOWN(((D167/D162)*12),0.1)</f>
        <v>14</v>
      </c>
      <c r="F167" s="259"/>
    </row>
    <row r="170" spans="3:17" ht="15.75" thickBot="1" x14ac:dyDescent="0.3"/>
    <row r="171" spans="3:17" ht="21.75" thickBot="1" x14ac:dyDescent="0.4">
      <c r="C171" s="239" t="s">
        <v>109</v>
      </c>
      <c r="D171" s="240"/>
      <c r="E171" s="240"/>
      <c r="F171" s="240"/>
      <c r="G171" s="241"/>
    </row>
    <row r="172" spans="3:17" ht="15.75" thickBot="1" x14ac:dyDescent="0.3">
      <c r="M172" s="296" t="str">
        <f>K5</f>
        <v>3.4 ft</v>
      </c>
      <c r="N172" s="296"/>
      <c r="O172" s="296"/>
      <c r="P172" s="296"/>
    </row>
    <row r="173" spans="3:17" x14ac:dyDescent="0.25">
      <c r="C173" s="50" t="s">
        <v>104</v>
      </c>
      <c r="D173" s="49">
        <f>D67</f>
        <v>4.7636741612692539</v>
      </c>
      <c r="F173" s="67" t="s">
        <v>57</v>
      </c>
      <c r="G173" s="5">
        <v>1.6</v>
      </c>
      <c r="L173" s="297" t="str">
        <f>R6</f>
        <v>1.5ft</v>
      </c>
      <c r="M173" s="289" t="s">
        <v>128</v>
      </c>
      <c r="N173" s="290"/>
      <c r="O173" s="290"/>
      <c r="P173" s="291"/>
      <c r="Q173" s="116"/>
    </row>
    <row r="174" spans="3:17" ht="15.75" thickBot="1" x14ac:dyDescent="0.3">
      <c r="C174" s="50" t="s">
        <v>105</v>
      </c>
      <c r="D174" s="49">
        <f>F26/3</f>
        <v>3.4166666666666665</v>
      </c>
      <c r="F174" s="67" t="s">
        <v>97</v>
      </c>
      <c r="G174" s="5">
        <f>G149</f>
        <v>3.5</v>
      </c>
      <c r="L174" s="297"/>
      <c r="M174" s="292"/>
      <c r="N174" s="293"/>
      <c r="O174" s="293"/>
      <c r="P174" s="294"/>
      <c r="Q174" s="116"/>
    </row>
    <row r="175" spans="3:17" x14ac:dyDescent="0.25">
      <c r="C175" s="50" t="s">
        <v>42</v>
      </c>
      <c r="D175" s="117" t="str">
        <f>IF(D67 &gt; D68,"a &gt; l/3",IF(D67 = D68,"a = l/3","a &lt; l/3"))</f>
        <v>a &gt; l/3</v>
      </c>
      <c r="F175" s="67" t="s">
        <v>113</v>
      </c>
      <c r="G175" s="64">
        <f>F30*12-G174</f>
        <v>14.5</v>
      </c>
    </row>
    <row r="176" spans="3:17" x14ac:dyDescent="0.25">
      <c r="C176" s="50" t="s">
        <v>106</v>
      </c>
      <c r="D176" s="49">
        <f>IF(D69=F66,G66,IF(D69=F67,G67,G68))</f>
        <v>1818.0989328992177</v>
      </c>
      <c r="F176" s="67" t="s">
        <v>136</v>
      </c>
      <c r="G176" s="48">
        <f>3*D173</f>
        <v>14.291022483807762</v>
      </c>
    </row>
    <row r="177" spans="3:19" ht="15.75" thickBot="1" x14ac:dyDescent="0.3">
      <c r="C177" s="50" t="s">
        <v>107</v>
      </c>
      <c r="D177" s="56">
        <f>IF(D69=F66,H66,IF(D69=F67,H67,H68))</f>
        <v>1183.2831809219206</v>
      </c>
    </row>
    <row r="178" spans="3:19" ht="15.75" thickBot="1" x14ac:dyDescent="0.3">
      <c r="C178" s="32" t="s">
        <v>108</v>
      </c>
      <c r="D178" s="54">
        <f>IF(D176&gt;D177, D176, D177)</f>
        <v>1818.0989328992177</v>
      </c>
      <c r="K178" s="285" t="s">
        <v>134</v>
      </c>
      <c r="L178" s="286"/>
      <c r="M178" s="286"/>
      <c r="N178" s="286"/>
      <c r="O178" s="286"/>
      <c r="P178" s="286"/>
      <c r="Q178" s="287"/>
    </row>
    <row r="179" spans="3:19" ht="15.75" thickBot="1" x14ac:dyDescent="0.3">
      <c r="K179" s="118"/>
      <c r="M179" s="196" t="str">
        <f>K8</f>
        <v>10.25ft</v>
      </c>
      <c r="N179" s="197"/>
      <c r="O179" s="197"/>
      <c r="P179" s="198"/>
      <c r="Q179" s="120"/>
    </row>
    <row r="180" spans="3:19" ht="15.75" thickBot="1" x14ac:dyDescent="0.3">
      <c r="C180" s="109" t="s">
        <v>58</v>
      </c>
      <c r="D180" s="121">
        <f>((0.5*O185*F35)*(F35/3))+((0.5*L186*F35)*(F35*(2/3)))</f>
        <v>16320.304615282981</v>
      </c>
      <c r="F180" s="109" t="s">
        <v>58</v>
      </c>
      <c r="G180" s="122">
        <f>((0.5*O197*F35)*(F35/3))+((0.5*L198*F35)*(F35*(2/3)))</f>
        <v>15625.921182636454</v>
      </c>
      <c r="K180" s="118"/>
      <c r="M180" s="199" t="str">
        <f>"TW = " &amp; TEXT(F35,"0.0")</f>
        <v>TW = 3.4</v>
      </c>
      <c r="N180" s="199"/>
      <c r="Q180" s="120"/>
    </row>
    <row r="181" spans="3:19" ht="16.5" thickTop="1" thickBot="1" x14ac:dyDescent="0.3">
      <c r="C181" s="109" t="s">
        <v>61</v>
      </c>
      <c r="D181" s="111">
        <f>((0.85*D14)/D15)*(1-(SQRT(1-(2*D180*12)/(0.85*0.9*D14*12*(G175)^2))))</f>
        <v>1.4626373584273687E-3</v>
      </c>
      <c r="F181" s="109" t="s">
        <v>61</v>
      </c>
      <c r="G181" s="111">
        <f>((0.85*D14)/D15)*(1-(SQRT(1-(2*G180*12)/(0.85*0.9*D14*12*(G175)^2))))</f>
        <v>1.3993460170539387E-3</v>
      </c>
      <c r="K181" s="118"/>
      <c r="M181" s="200"/>
      <c r="N181" s="201"/>
      <c r="O181" s="201"/>
      <c r="P181" s="202"/>
      <c r="Q181" s="120"/>
    </row>
    <row r="182" spans="3:19" x14ac:dyDescent="0.25">
      <c r="K182" s="118"/>
      <c r="M182" s="12"/>
      <c r="P182" s="123"/>
      <c r="Q182" s="120"/>
    </row>
    <row r="183" spans="3:19" x14ac:dyDescent="0.25">
      <c r="C183" s="255" t="s">
        <v>101</v>
      </c>
      <c r="D183" s="67" t="s">
        <v>99</v>
      </c>
      <c r="E183" s="82">
        <f>200/D15</f>
        <v>3.3333333333333335E-3</v>
      </c>
      <c r="K183" s="118"/>
      <c r="M183" s="12"/>
      <c r="O183" s="123"/>
      <c r="P183" s="124" t="s">
        <v>39</v>
      </c>
      <c r="Q183" s="125">
        <f>D177*G173</f>
        <v>1893.253089475073</v>
      </c>
    </row>
    <row r="184" spans="3:19" x14ac:dyDescent="0.25">
      <c r="C184" s="255"/>
      <c r="D184" s="67" t="s">
        <v>100</v>
      </c>
      <c r="E184" s="82">
        <f>((3*SQRT(D14)/D15))</f>
        <v>2.7386127875258306E-3</v>
      </c>
      <c r="K184" s="118"/>
      <c r="M184" s="12"/>
      <c r="N184" s="123"/>
      <c r="Q184" s="120"/>
      <c r="S184" s="126"/>
    </row>
    <row r="185" spans="3:19" ht="15.75" thickBot="1" x14ac:dyDescent="0.3">
      <c r="K185" s="118"/>
      <c r="M185" s="127"/>
      <c r="O185" s="128">
        <f>(((L186-Q183)/F26)*(F26-F35))+Q183</f>
        <v>2570.3898915841901</v>
      </c>
      <c r="Q185" s="120"/>
    </row>
    <row r="186" spans="3:19" ht="18" thickBot="1" x14ac:dyDescent="0.3">
      <c r="C186" s="26" t="s">
        <v>102</v>
      </c>
      <c r="D186" s="84">
        <f>IF(OR(D175=F66, D175=F67),
    IF(AND(D181&gt;E183, D181&gt;E184),
        D181*D96*G175,
        IF(AND(E183&gt;D181, E183&gt;E184),
            E183*D96*G175,
            E184*D96*G175
        )
    ),
    IF(AND(G181&gt;E183, G181&gt;E184),
        G181*D96*G175,
        IF(AND(E183&gt;G181, E183&gt;E184),
            E183*D96*G175,
            E184*D96*G175
        )
    )
)</f>
        <v>0.57999999999999996</v>
      </c>
      <c r="K186" s="129" t="s">
        <v>36</v>
      </c>
      <c r="L186" s="130">
        <f>D176*G173</f>
        <v>2908.9582926387484</v>
      </c>
      <c r="M186" s="131"/>
      <c r="N186" s="132"/>
      <c r="O186" s="132"/>
      <c r="P186" s="132"/>
      <c r="Q186" s="133"/>
    </row>
    <row r="187" spans="3:19" ht="15.75" thickBot="1" x14ac:dyDescent="0.3"/>
    <row r="188" spans="3:19" ht="15.75" thickBot="1" x14ac:dyDescent="0.3">
      <c r="C188" s="256" t="s">
        <v>103</v>
      </c>
      <c r="D188" s="257"/>
      <c r="E188" s="258"/>
    </row>
    <row r="189" spans="3:19" ht="18" thickBot="1" x14ac:dyDescent="0.3">
      <c r="C189" s="85" t="s">
        <v>83</v>
      </c>
      <c r="D189" s="86" t="s">
        <v>82</v>
      </c>
      <c r="E189" s="87" t="s">
        <v>89</v>
      </c>
      <c r="F189" s="259" t="str">
        <f>C190&amp;" @ "&amp;E190&amp;" c/c"</f>
        <v>#8 @ 16 c/c</v>
      </c>
    </row>
    <row r="190" spans="3:19" ht="16.5" thickTop="1" thickBot="1" x14ac:dyDescent="0.3">
      <c r="C190" s="3" t="s">
        <v>78</v>
      </c>
      <c r="D190" s="92">
        <f>_xlfn.XLOOKUP(C190,Table14[Inch-Pound Bar No.],Table14[Area (inch²)],"Change Bar No")</f>
        <v>0.78539816339744828</v>
      </c>
      <c r="E190" s="89">
        <f>ROUNDDOWN(((D190/D186)*12),0.1)</f>
        <v>16</v>
      </c>
      <c r="F190" s="259"/>
      <c r="J190" s="191" t="s">
        <v>135</v>
      </c>
      <c r="K190" s="192"/>
      <c r="L190" s="192"/>
      <c r="M190" s="192"/>
      <c r="N190" s="192"/>
      <c r="O190" s="192"/>
      <c r="P190" s="192"/>
      <c r="Q190" s="193"/>
    </row>
    <row r="191" spans="3:19" x14ac:dyDescent="0.25">
      <c r="J191" s="12"/>
      <c r="M191" s="194" t="s">
        <v>137</v>
      </c>
      <c r="N191" s="194"/>
      <c r="O191" s="194"/>
      <c r="P191" s="194"/>
      <c r="Q191" s="14"/>
    </row>
    <row r="192" spans="3:19" ht="15.75" thickBot="1" x14ac:dyDescent="0.3">
      <c r="J192" s="12"/>
      <c r="M192" s="188" t="str">
        <f>TEXT(G176,"0.0") &amp; "ft"</f>
        <v>14.3ft</v>
      </c>
      <c r="N192" s="189"/>
      <c r="O192" s="189"/>
      <c r="P192" s="190"/>
      <c r="Q192" s="14"/>
    </row>
    <row r="193" spans="3:17" ht="21.75" thickBot="1" x14ac:dyDescent="0.4">
      <c r="C193" s="239" t="s">
        <v>114</v>
      </c>
      <c r="D193" s="240"/>
      <c r="E193" s="240"/>
      <c r="F193" s="240"/>
      <c r="G193" s="241"/>
      <c r="J193" s="12"/>
      <c r="M193" s="187" t="str">
        <f>M180</f>
        <v>TW = 3.4</v>
      </c>
      <c r="N193" s="187"/>
      <c r="O193" s="134"/>
      <c r="P193" s="134"/>
      <c r="Q193" s="14"/>
    </row>
    <row r="194" spans="3:17" ht="16.5" thickTop="1" thickBot="1" x14ac:dyDescent="0.3">
      <c r="J194" s="12"/>
      <c r="M194" s="15"/>
      <c r="N194" s="16"/>
      <c r="O194" s="16"/>
      <c r="P194" s="135"/>
      <c r="Q194" s="14"/>
    </row>
    <row r="195" spans="3:17" x14ac:dyDescent="0.25">
      <c r="C195" s="242" t="s">
        <v>115</v>
      </c>
      <c r="D195" s="243"/>
      <c r="J195" s="12"/>
      <c r="M195" s="12"/>
      <c r="O195" s="123"/>
      <c r="Q195" s="136"/>
    </row>
    <row r="196" spans="3:17" x14ac:dyDescent="0.25">
      <c r="C196" s="137" t="s">
        <v>116</v>
      </c>
      <c r="D196" s="138" t="s">
        <v>117</v>
      </c>
      <c r="J196" s="12"/>
      <c r="M196" s="12"/>
      <c r="N196" s="123"/>
      <c r="Q196" s="14"/>
    </row>
    <row r="197" spans="3:17" x14ac:dyDescent="0.25">
      <c r="C197" s="23" t="s">
        <v>118</v>
      </c>
      <c r="D197" s="107">
        <v>2E-3</v>
      </c>
      <c r="E197" s="299">
        <f>IF(D15=60000,D198,(IF(D15=40000,D197,D198)))</f>
        <v>1.8E-3</v>
      </c>
      <c r="J197" s="12"/>
      <c r="M197" s="127"/>
      <c r="O197" s="128">
        <f>(((L198)/G176)*(G176-F35))</f>
        <v>2213.4908518420129</v>
      </c>
      <c r="Q197" s="14"/>
    </row>
    <row r="198" spans="3:17" ht="15.75" thickBot="1" x14ac:dyDescent="0.3">
      <c r="C198" s="25" t="s">
        <v>119</v>
      </c>
      <c r="D198" s="102">
        <v>1.8E-3</v>
      </c>
      <c r="E198" s="299"/>
      <c r="J198" s="18"/>
      <c r="K198" s="139" t="s">
        <v>36</v>
      </c>
      <c r="L198" s="140">
        <f>L186</f>
        <v>2908.9582926387484</v>
      </c>
      <c r="M198" s="141"/>
      <c r="N198" s="19"/>
      <c r="O198" s="19"/>
      <c r="P198" s="19"/>
      <c r="Q198" s="20"/>
    </row>
    <row r="199" spans="3:17" ht="15.75" thickBot="1" x14ac:dyDescent="0.3"/>
    <row r="200" spans="3:17" ht="18" thickBot="1" x14ac:dyDescent="0.3">
      <c r="C200" s="26" t="s">
        <v>102</v>
      </c>
      <c r="D200" s="142">
        <f>E197*D96*G175</f>
        <v>0.31320000000000003</v>
      </c>
    </row>
    <row r="201" spans="3:17" ht="15.75" thickBot="1" x14ac:dyDescent="0.3"/>
    <row r="202" spans="3:17" ht="15.75" thickBot="1" x14ac:dyDescent="0.3">
      <c r="C202" s="256" t="s">
        <v>103</v>
      </c>
      <c r="D202" s="257"/>
      <c r="E202" s="258"/>
    </row>
    <row r="203" spans="3:17" ht="17.25" x14ac:dyDescent="0.25">
      <c r="C203" s="85" t="s">
        <v>83</v>
      </c>
      <c r="D203" s="86" t="s">
        <v>82</v>
      </c>
      <c r="E203" s="87" t="s">
        <v>89</v>
      </c>
      <c r="F203" s="259" t="str">
        <f>C204&amp;" @ "&amp;E204&amp;" c/c"</f>
        <v>#6 @ 16 c/c</v>
      </c>
    </row>
    <row r="204" spans="3:17" ht="15.75" thickBot="1" x14ac:dyDescent="0.3">
      <c r="C204" s="3" t="s">
        <v>76</v>
      </c>
      <c r="D204" s="92">
        <f>_xlfn.XLOOKUP(C204,Table14[Inch-Pound Bar No.],Table14[Area (inch²)],"Change Bar No")</f>
        <v>0.44178646691106466</v>
      </c>
      <c r="E204" s="89">
        <f>ROUNDDOWN(((D204/D200)*12),0.1)</f>
        <v>16</v>
      </c>
      <c r="F204" s="259"/>
    </row>
    <row r="216" spans="3:18" x14ac:dyDescent="0.25">
      <c r="C216" s="300" t="s">
        <v>138</v>
      </c>
      <c r="D216" s="300"/>
      <c r="E216" s="300"/>
    </row>
    <row r="217" spans="3:18" x14ac:dyDescent="0.25">
      <c r="C217" s="300" t="s">
        <v>139</v>
      </c>
      <c r="D217" s="300"/>
      <c r="E217" s="300"/>
    </row>
    <row r="218" spans="3:18" x14ac:dyDescent="0.25">
      <c r="C218" s="143" t="s">
        <v>43</v>
      </c>
      <c r="D218" s="143" t="s">
        <v>34</v>
      </c>
      <c r="E218" s="143" t="s">
        <v>35</v>
      </c>
    </row>
    <row r="219" spans="3:18" x14ac:dyDescent="0.25">
      <c r="C219" s="64" t="str">
        <f>I43</f>
        <v>OK!</v>
      </c>
      <c r="D219" s="64" t="str">
        <f>E59</f>
        <v>OK!</v>
      </c>
      <c r="E219" s="64" t="str">
        <f>E74</f>
        <v>OK!</v>
      </c>
    </row>
    <row r="220" spans="3:18" x14ac:dyDescent="0.25">
      <c r="C220" s="301" t="s">
        <v>90</v>
      </c>
      <c r="D220" s="302"/>
      <c r="E220" s="303"/>
    </row>
    <row r="221" spans="3:18" x14ac:dyDescent="0.25">
      <c r="C221" s="143" t="s">
        <v>129</v>
      </c>
      <c r="D221" s="308" t="s">
        <v>140</v>
      </c>
      <c r="E221" s="309"/>
    </row>
    <row r="222" spans="3:18" x14ac:dyDescent="0.25">
      <c r="C222" s="64" t="str">
        <f>I92</f>
        <v>OK!</v>
      </c>
      <c r="D222" s="310" t="str">
        <f>E153</f>
        <v>OK!</v>
      </c>
      <c r="E222" s="311"/>
    </row>
    <row r="224" spans="3:18" x14ac:dyDescent="0.25">
      <c r="Q224" s="307" t="str">
        <f>E232</f>
        <v>#6 @ 23 c/c</v>
      </c>
      <c r="R224" s="307"/>
    </row>
    <row r="226" spans="2:26" x14ac:dyDescent="0.25">
      <c r="V226" s="165" t="str">
        <f>D232</f>
        <v>#7 @ 11 c/c</v>
      </c>
      <c r="W226" s="165"/>
    </row>
    <row r="227" spans="2:26" ht="15.75" thickBot="1" x14ac:dyDescent="0.3"/>
    <row r="228" spans="2:26" ht="18.75" x14ac:dyDescent="0.3">
      <c r="B228" s="304" t="s">
        <v>120</v>
      </c>
      <c r="C228" s="305"/>
      <c r="D228" s="305"/>
      <c r="E228" s="305"/>
      <c r="F228" s="305"/>
      <c r="G228" s="306"/>
    </row>
    <row r="229" spans="2:26" x14ac:dyDescent="0.25">
      <c r="B229" s="275" t="s">
        <v>129</v>
      </c>
      <c r="C229" s="255"/>
      <c r="D229" s="255"/>
      <c r="E229" s="255"/>
      <c r="F229" s="255"/>
      <c r="G229" s="317"/>
    </row>
    <row r="230" spans="2:26" x14ac:dyDescent="0.25">
      <c r="B230" s="320" t="s">
        <v>132</v>
      </c>
      <c r="C230" s="313"/>
      <c r="D230" s="321" t="s">
        <v>84</v>
      </c>
      <c r="E230" s="321"/>
      <c r="F230" s="321" t="s">
        <v>130</v>
      </c>
      <c r="G230" s="322"/>
      <c r="P230" s="194" t="str">
        <f>G232</f>
        <v>#4 @ 15 c/c</v>
      </c>
      <c r="Q230" s="194"/>
    </row>
    <row r="231" spans="2:26" x14ac:dyDescent="0.25">
      <c r="B231" s="137" t="s">
        <v>124</v>
      </c>
      <c r="C231" s="143" t="s">
        <v>125</v>
      </c>
      <c r="D231" s="145" t="s">
        <v>121</v>
      </c>
      <c r="E231" s="145" t="s">
        <v>122</v>
      </c>
      <c r="F231" s="145" t="s">
        <v>123</v>
      </c>
      <c r="G231" s="138" t="s">
        <v>122</v>
      </c>
    </row>
    <row r="232" spans="2:26" x14ac:dyDescent="0.25">
      <c r="B232" s="41">
        <f>F24</f>
        <v>1.25</v>
      </c>
      <c r="C232" s="64">
        <f>F28</f>
        <v>1.25</v>
      </c>
      <c r="D232" s="64" t="str">
        <f>F107</f>
        <v>#7 @ 11 c/c</v>
      </c>
      <c r="E232" s="64" t="str">
        <f>F122</f>
        <v>#6 @ 23 c/c</v>
      </c>
      <c r="F232" s="64" t="str">
        <f>H112</f>
        <v>#4 @ 7 c/c</v>
      </c>
      <c r="G232" s="117" t="str">
        <f>H114</f>
        <v>#4 @ 15 c/c</v>
      </c>
    </row>
    <row r="233" spans="2:26" x14ac:dyDescent="0.25">
      <c r="B233" s="275" t="s">
        <v>131</v>
      </c>
      <c r="C233" s="255"/>
      <c r="D233" s="255"/>
      <c r="E233" s="255"/>
      <c r="F233" s="255"/>
      <c r="G233" s="317"/>
    </row>
    <row r="234" spans="2:26" x14ac:dyDescent="0.25">
      <c r="B234" s="50" t="s">
        <v>132</v>
      </c>
      <c r="C234" s="143" t="s">
        <v>133</v>
      </c>
      <c r="D234" s="313" t="s">
        <v>126</v>
      </c>
      <c r="E234" s="313"/>
      <c r="F234" s="313" t="s">
        <v>127</v>
      </c>
      <c r="G234" s="314"/>
      <c r="W234" s="323" t="str">
        <f>F232</f>
        <v>#4 @ 7 c/c</v>
      </c>
      <c r="X234" s="323"/>
      <c r="Y234" s="51"/>
    </row>
    <row r="235" spans="2:26" x14ac:dyDescent="0.25">
      <c r="B235" s="146">
        <f>F34</f>
        <v>5.5833333333333339</v>
      </c>
      <c r="C235" s="64">
        <f>F30</f>
        <v>1.5</v>
      </c>
      <c r="D235" s="318" t="str">
        <f>F166</f>
        <v>#8 @ 14 c/c</v>
      </c>
      <c r="E235" s="318"/>
      <c r="F235" s="318" t="str">
        <f>F203</f>
        <v>#6 @ 16 c/c</v>
      </c>
      <c r="G235" s="319"/>
    </row>
    <row r="236" spans="2:26" x14ac:dyDescent="0.25">
      <c r="B236" s="275" t="s">
        <v>128</v>
      </c>
      <c r="C236" s="255"/>
      <c r="D236" s="255"/>
      <c r="E236" s="255"/>
      <c r="F236" s="255"/>
      <c r="G236" s="317"/>
    </row>
    <row r="237" spans="2:26" x14ac:dyDescent="0.25">
      <c r="B237" s="50" t="s">
        <v>132</v>
      </c>
      <c r="C237" s="143" t="s">
        <v>133</v>
      </c>
      <c r="D237" s="313" t="s">
        <v>126</v>
      </c>
      <c r="E237" s="313"/>
      <c r="F237" s="313" t="s">
        <v>127</v>
      </c>
      <c r="G237" s="314"/>
    </row>
    <row r="238" spans="2:26" ht="15.75" thickBot="1" x14ac:dyDescent="0.3">
      <c r="B238" s="147">
        <f>F35</f>
        <v>3.4166666666666665</v>
      </c>
      <c r="C238" s="58">
        <f>F30</f>
        <v>1.5</v>
      </c>
      <c r="D238" s="315" t="str">
        <f>F189</f>
        <v>#8 @ 16 c/c</v>
      </c>
      <c r="E238" s="315"/>
      <c r="F238" s="315" t="str">
        <f>F235</f>
        <v>#6 @ 16 c/c</v>
      </c>
      <c r="G238" s="316"/>
      <c r="M238" s="194" t="str">
        <f>F238</f>
        <v>#6 @ 16 c/c</v>
      </c>
      <c r="N238" s="194"/>
      <c r="O238" s="194"/>
      <c r="Y238" s="312" t="str">
        <f>D235</f>
        <v>#8 @ 14 c/c</v>
      </c>
      <c r="Z238" s="312"/>
    </row>
    <row r="244" spans="14:26" x14ac:dyDescent="0.25">
      <c r="N244" s="312" t="str">
        <f>D238</f>
        <v>#8 @ 16 c/c</v>
      </c>
      <c r="O244" s="312"/>
    </row>
    <row r="245" spans="14:26" x14ac:dyDescent="0.25">
      <c r="Y245" s="307" t="str">
        <f>F238</f>
        <v>#6 @ 16 c/c</v>
      </c>
      <c r="Z245" s="307"/>
    </row>
  </sheetData>
  <sheetProtection sheet="1" objects="1" scenarios="1"/>
  <mergeCells count="155">
    <mergeCell ref="Y245:Z245"/>
    <mergeCell ref="D221:E221"/>
    <mergeCell ref="D222:E222"/>
    <mergeCell ref="Q224:R224"/>
    <mergeCell ref="P230:Q230"/>
    <mergeCell ref="N244:O244"/>
    <mergeCell ref="Y238:Z238"/>
    <mergeCell ref="M238:O238"/>
    <mergeCell ref="D237:E237"/>
    <mergeCell ref="F237:G237"/>
    <mergeCell ref="D238:E238"/>
    <mergeCell ref="F238:G238"/>
    <mergeCell ref="B233:G233"/>
    <mergeCell ref="D234:E234"/>
    <mergeCell ref="F234:G234"/>
    <mergeCell ref="D235:E235"/>
    <mergeCell ref="F235:G235"/>
    <mergeCell ref="B236:G236"/>
    <mergeCell ref="B230:C230"/>
    <mergeCell ref="D230:E230"/>
    <mergeCell ref="F230:G230"/>
    <mergeCell ref="B229:G229"/>
    <mergeCell ref="W234:X234"/>
    <mergeCell ref="F189:F190"/>
    <mergeCell ref="C193:G193"/>
    <mergeCell ref="C202:E202"/>
    <mergeCell ref="E197:E198"/>
    <mergeCell ref="C217:E217"/>
    <mergeCell ref="C216:E216"/>
    <mergeCell ref="C220:E220"/>
    <mergeCell ref="F203:F204"/>
    <mergeCell ref="B228:G228"/>
    <mergeCell ref="C195:D195"/>
    <mergeCell ref="C183:C184"/>
    <mergeCell ref="C188:E188"/>
    <mergeCell ref="K178:Q178"/>
    <mergeCell ref="L147:O147"/>
    <mergeCell ref="L148:O149"/>
    <mergeCell ref="P148:P149"/>
    <mergeCell ref="E153:E154"/>
    <mergeCell ref="F166:F167"/>
    <mergeCell ref="C171:G171"/>
    <mergeCell ref="M172:P172"/>
    <mergeCell ref="L173:L174"/>
    <mergeCell ref="M173:P174"/>
    <mergeCell ref="C159:C160"/>
    <mergeCell ref="C165:E165"/>
    <mergeCell ref="C121:D121"/>
    <mergeCell ref="F122:F123"/>
    <mergeCell ref="C147:G147"/>
    <mergeCell ref="C112:C113"/>
    <mergeCell ref="D112:D113"/>
    <mergeCell ref="H112:H113"/>
    <mergeCell ref="C114:C115"/>
    <mergeCell ref="D114:D115"/>
    <mergeCell ref="H114:H115"/>
    <mergeCell ref="C132:C133"/>
    <mergeCell ref="C134:C135"/>
    <mergeCell ref="C136:C137"/>
    <mergeCell ref="C138:C139"/>
    <mergeCell ref="C140:C141"/>
    <mergeCell ref="D132:D133"/>
    <mergeCell ref="D134:D135"/>
    <mergeCell ref="D136:D137"/>
    <mergeCell ref="D138:D139"/>
    <mergeCell ref="D140:D141"/>
    <mergeCell ref="E140:E141"/>
    <mergeCell ref="E138:E139"/>
    <mergeCell ref="E136:E137"/>
    <mergeCell ref="E134:E135"/>
    <mergeCell ref="E132:E133"/>
    <mergeCell ref="C101:C102"/>
    <mergeCell ref="C106:E106"/>
    <mergeCell ref="F107:F108"/>
    <mergeCell ref="C110:G110"/>
    <mergeCell ref="G91:H91"/>
    <mergeCell ref="I92:I93"/>
    <mergeCell ref="C111:D111"/>
    <mergeCell ref="E111:G111"/>
    <mergeCell ref="C120:E120"/>
    <mergeCell ref="C74:D75"/>
    <mergeCell ref="E74:E75"/>
    <mergeCell ref="C82:G83"/>
    <mergeCell ref="N83:N88"/>
    <mergeCell ref="O83:O88"/>
    <mergeCell ref="P83:P88"/>
    <mergeCell ref="C86:G86"/>
    <mergeCell ref="C41:D41"/>
    <mergeCell ref="G43:G44"/>
    <mergeCell ref="H43:H44"/>
    <mergeCell ref="I43:K44"/>
    <mergeCell ref="C59:C60"/>
    <mergeCell ref="D59:D60"/>
    <mergeCell ref="E59:E60"/>
    <mergeCell ref="C58:D58"/>
    <mergeCell ref="C66:D66"/>
    <mergeCell ref="C26:C27"/>
    <mergeCell ref="F26:F27"/>
    <mergeCell ref="C28:C29"/>
    <mergeCell ref="F28:F29"/>
    <mergeCell ref="C30:C31"/>
    <mergeCell ref="F30:F31"/>
    <mergeCell ref="C32:E32"/>
    <mergeCell ref="C33:E33"/>
    <mergeCell ref="C34:E34"/>
    <mergeCell ref="J3:J7"/>
    <mergeCell ref="M3:M5"/>
    <mergeCell ref="R3:R5"/>
    <mergeCell ref="K5:L5"/>
    <mergeCell ref="O5:Q5"/>
    <mergeCell ref="R6:R7"/>
    <mergeCell ref="M193:N193"/>
    <mergeCell ref="M192:P192"/>
    <mergeCell ref="J190:Q190"/>
    <mergeCell ref="M191:P191"/>
    <mergeCell ref="N89:O89"/>
    <mergeCell ref="M179:P179"/>
    <mergeCell ref="M180:N180"/>
    <mergeCell ref="M181:P181"/>
    <mergeCell ref="L140:L141"/>
    <mergeCell ref="L138:L139"/>
    <mergeCell ref="L136:L137"/>
    <mergeCell ref="L134:L135"/>
    <mergeCell ref="L132:L133"/>
    <mergeCell ref="C125:L126"/>
    <mergeCell ref="C35:E35"/>
    <mergeCell ref="K8:Q8"/>
    <mergeCell ref="C24:C25"/>
    <mergeCell ref="F24:F25"/>
    <mergeCell ref="F140:F141"/>
    <mergeCell ref="F138:F139"/>
    <mergeCell ref="F136:F137"/>
    <mergeCell ref="F134:F135"/>
    <mergeCell ref="F132:F133"/>
    <mergeCell ref="H132:H133"/>
    <mergeCell ref="H134:H135"/>
    <mergeCell ref="H136:H137"/>
    <mergeCell ref="H138:H139"/>
    <mergeCell ref="H140:H141"/>
    <mergeCell ref="V226:W226"/>
    <mergeCell ref="I132:I133"/>
    <mergeCell ref="I134:I135"/>
    <mergeCell ref="I136:I137"/>
    <mergeCell ref="I138:I139"/>
    <mergeCell ref="I140:I141"/>
    <mergeCell ref="J132:J133"/>
    <mergeCell ref="K132:K133"/>
    <mergeCell ref="J134:J135"/>
    <mergeCell ref="J140:J141"/>
    <mergeCell ref="J138:J139"/>
    <mergeCell ref="J136:J137"/>
    <mergeCell ref="K140:K141"/>
    <mergeCell ref="K138:K139"/>
    <mergeCell ref="K136:K137"/>
    <mergeCell ref="K134:K135"/>
  </mergeCells>
  <phoneticPr fontId="32" type="noConversion"/>
  <conditionalFormatting sqref="C222:D222">
    <cfRule type="cellIs" dxfId="43" priority="3" operator="equal">
      <formula>"REDESIGN"</formula>
    </cfRule>
    <cfRule type="cellIs" dxfId="42" priority="4" operator="equal">
      <formula>"OK!"</formula>
    </cfRule>
  </conditionalFormatting>
  <conditionalFormatting sqref="C219:E219">
    <cfRule type="cellIs" dxfId="41" priority="5" operator="equal">
      <formula>"OK!"</formula>
    </cfRule>
    <cfRule type="cellIs" dxfId="40" priority="6" operator="equal">
      <formula>"REDESIGN"</formula>
    </cfRule>
  </conditionalFormatting>
  <conditionalFormatting sqref="E59">
    <cfRule type="cellIs" dxfId="39" priority="25" operator="equal">
      <formula>"OK!"</formula>
    </cfRule>
    <cfRule type="cellIs" dxfId="38" priority="26" operator="equal">
      <formula>"REDESIGN"</formula>
    </cfRule>
  </conditionalFormatting>
  <conditionalFormatting sqref="E67:E68">
    <cfRule type="cellIs" dxfId="37" priority="23" operator="equal">
      <formula>"OK!"</formula>
    </cfRule>
    <cfRule type="cellIs" dxfId="36" priority="24" operator="equal">
      <formula>"REDESIGN"</formula>
    </cfRule>
  </conditionalFormatting>
  <conditionalFormatting sqref="E74">
    <cfRule type="cellIs" dxfId="35" priority="21" operator="equal">
      <formula>"REDESIGN"</formula>
    </cfRule>
    <cfRule type="cellIs" dxfId="34" priority="22" operator="equal">
      <formula>"OK!"</formula>
    </cfRule>
  </conditionalFormatting>
  <conditionalFormatting sqref="E101">
    <cfRule type="expression" dxfId="33" priority="14">
      <formula>"IF(AND($E$106 &gt; $D$103, $E$106 &gt; $E$107))"</formula>
    </cfRule>
  </conditionalFormatting>
  <conditionalFormatting sqref="E153:E154">
    <cfRule type="cellIs" dxfId="32" priority="15" operator="equal">
      <formula>"REDESIGN"</formula>
    </cfRule>
    <cfRule type="cellIs" dxfId="31" priority="16" operator="equal">
      <formula>"OK!"</formula>
    </cfRule>
  </conditionalFormatting>
  <conditionalFormatting sqref="F180:G181 J190:Q198">
    <cfRule type="expression" dxfId="30" priority="2">
      <formula>OR($D$175=$F$66, $D$175=$F$67)</formula>
    </cfRule>
  </conditionalFormatting>
  <conditionalFormatting sqref="F79:H79">
    <cfRule type="cellIs" dxfId="29" priority="19" operator="equal">
      <formula>"OK!"</formula>
    </cfRule>
    <cfRule type="cellIs" dxfId="28" priority="20" operator="equal">
      <formula>"REDESIGN"</formula>
    </cfRule>
  </conditionalFormatting>
  <conditionalFormatting sqref="I92:I93">
    <cfRule type="cellIs" dxfId="27" priority="17" operator="equal">
      <formula>"REDESIGN"</formula>
    </cfRule>
    <cfRule type="cellIs" dxfId="26" priority="18" operator="equal">
      <formula>"OK!"</formula>
    </cfRule>
  </conditionalFormatting>
  <conditionalFormatting sqref="I43:K44">
    <cfRule type="cellIs" dxfId="25" priority="27" operator="equal">
      <formula>"OK!"</formula>
    </cfRule>
    <cfRule type="cellIs" dxfId="24" priority="28" operator="equal">
      <formula>"OK"</formula>
    </cfRule>
    <cfRule type="cellIs" dxfId="23" priority="29" operator="equal">
      <formula>"REDESIGN"</formula>
    </cfRule>
  </conditionalFormatting>
  <conditionalFormatting sqref="K178:Q186 C180:D181">
    <cfRule type="expression" dxfId="22" priority="1">
      <formula>$D$175=$F$68</formula>
    </cfRule>
  </conditionalFormatting>
  <dataValidations disablePrompts="1" count="1">
    <dataValidation type="list" allowBlank="1" showInputMessage="1" showErrorMessage="1" sqref="C108 C204 C190 C123 C167 E115 E113 J132 J134 J136 J138 J140" xr:uid="{6BBAB9A6-D758-4A90-9742-A0FE39027FF2}">
      <formula1>$Z$87:$Z$96</formula1>
    </dataValidation>
  </dataValidations>
  <printOptions horizontalCentered="1" verticalCentered="1"/>
  <pageMargins left="0.7" right="0.7" top="0.75" bottom="0.75" header="0.3" footer="0.3"/>
  <pageSetup scale="47" fitToHeight="0" orientation="portrait" r:id="rId1"/>
  <rowBreaks count="3" manualBreakCount="3">
    <brk id="62" max="18" man="1"/>
    <brk id="144" max="18" man="1"/>
    <brk id="224" max="18" man="1"/>
  </rowBreaks>
  <ignoredErrors>
    <ignoredError sqref="F34:F35" unlockedFormula="1"/>
    <ignoredError sqref="G50:G53 G133 G135 G137 G139" formula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0FEA-8134-4390-A0CC-92EEE3EA3F5E}">
  <dimension ref="B1:AH249"/>
  <sheetViews>
    <sheetView zoomScale="85" zoomScaleNormal="85" workbookViewId="0">
      <selection activeCell="E117" sqref="E117"/>
    </sheetView>
  </sheetViews>
  <sheetFormatPr defaultRowHeight="15" x14ac:dyDescent="0.25"/>
  <cols>
    <col min="2" max="3" width="15.7109375" bestFit="1" customWidth="1"/>
    <col min="4" max="4" width="12.42578125" bestFit="1" customWidth="1"/>
    <col min="5" max="5" width="15" bestFit="1" customWidth="1"/>
    <col min="6" max="7" width="16.28515625" bestFit="1" customWidth="1"/>
    <col min="8" max="8" width="14.42578125" bestFit="1" customWidth="1"/>
    <col min="9" max="9" width="9.7109375" bestFit="1" customWidth="1"/>
    <col min="10" max="10" width="6.7109375" bestFit="1" customWidth="1"/>
    <col min="11" max="11" width="8.5703125" bestFit="1" customWidth="1"/>
    <col min="12" max="12" width="11.28515625" bestFit="1" customWidth="1"/>
    <col min="13" max="16" width="6.7109375" customWidth="1"/>
    <col min="18" max="18" width="9.140625" customWidth="1"/>
    <col min="20" max="21" width="9.140625" customWidth="1"/>
    <col min="24" max="24" width="9.7109375" bestFit="1" customWidth="1"/>
    <col min="25" max="25" width="21.85546875" bestFit="1" customWidth="1"/>
    <col min="26" max="26" width="27.42578125" bestFit="1" customWidth="1"/>
    <col min="27" max="27" width="23.28515625" bestFit="1" customWidth="1"/>
    <col min="28" max="28" width="23" bestFit="1" customWidth="1"/>
    <col min="29" max="29" width="22" bestFit="1" customWidth="1"/>
    <col min="30" max="30" width="23.7109375" bestFit="1" customWidth="1"/>
    <col min="33" max="33" width="8.5703125" bestFit="1" customWidth="1"/>
  </cols>
  <sheetData>
    <row r="1" spans="3:21" ht="16.5" customHeight="1" x14ac:dyDescent="0.25">
      <c r="M1" s="9"/>
      <c r="N1" s="9"/>
    </row>
    <row r="2" spans="3:21" ht="24" customHeight="1" thickBot="1" x14ac:dyDescent="0.3">
      <c r="N2" s="10" t="str">
        <f>F24 &amp;"ft"</f>
        <v>2ft</v>
      </c>
    </row>
    <row r="3" spans="3:21" ht="41.25" customHeight="1" thickTop="1" x14ac:dyDescent="0.25">
      <c r="J3" s="181" t="str">
        <f>D20 &amp; "ft"</f>
        <v>16ft</v>
      </c>
      <c r="M3" s="182"/>
      <c r="N3" s="11"/>
      <c r="O3" s="12"/>
      <c r="R3" s="181" t="str">
        <f>D20-F30 &amp; "ft"</f>
        <v>13.5ft</v>
      </c>
    </row>
    <row r="4" spans="3:21" ht="41.25" customHeight="1" x14ac:dyDescent="0.25">
      <c r="J4" s="181"/>
      <c r="K4" s="13"/>
      <c r="M4" s="182"/>
      <c r="N4" s="14"/>
      <c r="O4" s="12"/>
      <c r="R4" s="181"/>
    </row>
    <row r="5" spans="3:21" ht="41.25" customHeight="1" thickBot="1" x14ac:dyDescent="0.3">
      <c r="J5" s="181"/>
      <c r="K5" s="184" t="str">
        <f>TEXT(F36,"0.0") &amp; " ft"</f>
        <v>4.7 ft</v>
      </c>
      <c r="L5" s="184"/>
      <c r="M5" s="183"/>
      <c r="N5" s="14"/>
      <c r="O5" s="185" t="str">
        <f>TEXT(F35,"0.0") &amp;"ft"</f>
        <v>6.3ft</v>
      </c>
      <c r="P5" s="184"/>
      <c r="Q5" s="184"/>
      <c r="R5" s="181"/>
    </row>
    <row r="6" spans="3:21" ht="18" customHeight="1" thickTop="1" x14ac:dyDescent="0.25">
      <c r="J6" s="181"/>
      <c r="K6" s="15"/>
      <c r="L6" s="16"/>
      <c r="M6" s="17" t="str">
        <f>TEXT(U7,"0.0") &amp; "ft"</f>
        <v>1.0ft</v>
      </c>
      <c r="N6" s="17" t="str">
        <f>TEXT(U8,"0.0") &amp; "ft"</f>
        <v>2.0ft</v>
      </c>
      <c r="O6" s="16"/>
      <c r="P6" s="16"/>
      <c r="Q6" s="11"/>
      <c r="R6" s="186" t="str">
        <f>F30 &amp; "ft"</f>
        <v>2.5ft</v>
      </c>
      <c r="U6">
        <f>D20-F30</f>
        <v>13.5</v>
      </c>
    </row>
    <row r="7" spans="3:21" ht="17.25" customHeight="1" thickBot="1" x14ac:dyDescent="0.3">
      <c r="J7" s="181"/>
      <c r="K7" s="18"/>
      <c r="L7" s="19"/>
      <c r="M7" s="19"/>
      <c r="N7" s="19"/>
      <c r="O7" s="19"/>
      <c r="P7" s="19"/>
      <c r="Q7" s="20"/>
      <c r="R7" s="186"/>
      <c r="U7">
        <f>F28-F24</f>
        <v>1</v>
      </c>
    </row>
    <row r="8" spans="3:21" ht="16.5" thickTop="1" thickBot="1" x14ac:dyDescent="0.3">
      <c r="M8" s="119" t="str">
        <f>TEXT(F32,"0.0")&amp;"ft"</f>
        <v>4.0ft</v>
      </c>
      <c r="N8" s="148"/>
      <c r="R8" s="13"/>
      <c r="U8">
        <f>F24</f>
        <v>2</v>
      </c>
    </row>
    <row r="9" spans="3:21" ht="15.75" thickTop="1" x14ac:dyDescent="0.25">
      <c r="N9" s="119" t="str">
        <f>N6</f>
        <v>2.0ft</v>
      </c>
      <c r="R9" s="21"/>
    </row>
    <row r="10" spans="3:21" x14ac:dyDescent="0.25">
      <c r="K10" s="181" t="str">
        <f>F26 &amp; "ft"</f>
        <v>14ft</v>
      </c>
      <c r="L10" s="181"/>
      <c r="M10" s="181"/>
      <c r="N10" s="181"/>
      <c r="O10" s="181"/>
      <c r="P10" s="181"/>
      <c r="Q10" s="181"/>
    </row>
    <row r="11" spans="3:21" ht="15.75" thickBot="1" x14ac:dyDescent="0.3"/>
    <row r="12" spans="3:21" x14ac:dyDescent="0.25">
      <c r="C12" s="69" t="s">
        <v>144</v>
      </c>
      <c r="D12" s="157">
        <v>13</v>
      </c>
    </row>
    <row r="13" spans="3:21" x14ac:dyDescent="0.25">
      <c r="C13" s="23" t="s">
        <v>145</v>
      </c>
      <c r="D13" s="158">
        <v>3</v>
      </c>
    </row>
    <row r="14" spans="3:21" x14ac:dyDescent="0.25">
      <c r="C14" s="22" t="s">
        <v>60</v>
      </c>
      <c r="D14" s="7">
        <v>3000</v>
      </c>
    </row>
    <row r="15" spans="3:21" x14ac:dyDescent="0.25">
      <c r="C15" s="22" t="s">
        <v>59</v>
      </c>
      <c r="D15" s="7">
        <v>60000</v>
      </c>
    </row>
    <row r="16" spans="3:21" ht="18" x14ac:dyDescent="0.35">
      <c r="C16" s="23" t="s">
        <v>31</v>
      </c>
      <c r="D16" s="1">
        <v>100</v>
      </c>
    </row>
    <row r="17" spans="3:8" ht="18" x14ac:dyDescent="0.35">
      <c r="C17" s="23" t="s">
        <v>32</v>
      </c>
      <c r="D17" s="1">
        <v>150</v>
      </c>
    </row>
    <row r="18" spans="3:8" x14ac:dyDescent="0.25">
      <c r="C18" s="23" t="s">
        <v>10</v>
      </c>
      <c r="D18" s="1">
        <v>30</v>
      </c>
      <c r="E18" s="24">
        <f>(PI()/180)*D18</f>
        <v>0.52359877559829882</v>
      </c>
    </row>
    <row r="19" spans="3:8" ht="18" x14ac:dyDescent="0.35">
      <c r="C19" s="23" t="s">
        <v>33</v>
      </c>
      <c r="D19" s="1">
        <v>8000</v>
      </c>
    </row>
    <row r="20" spans="3:8" x14ac:dyDescent="0.25">
      <c r="C20" s="23" t="s">
        <v>11</v>
      </c>
      <c r="D20" s="1">
        <f>D12+D13</f>
        <v>16</v>
      </c>
    </row>
    <row r="21" spans="3:8" ht="15.75" thickBot="1" x14ac:dyDescent="0.3">
      <c r="C21" s="25" t="s">
        <v>26</v>
      </c>
      <c r="D21" s="2">
        <v>0</v>
      </c>
    </row>
    <row r="22" spans="3:8" ht="15.75" thickBot="1" x14ac:dyDescent="0.3"/>
    <row r="23" spans="3:8" ht="15.75" thickBot="1" x14ac:dyDescent="0.3">
      <c r="C23" s="26" t="s">
        <v>8</v>
      </c>
      <c r="D23" s="27" t="s">
        <v>9</v>
      </c>
      <c r="E23" s="27" t="s">
        <v>12</v>
      </c>
      <c r="F23" s="28" t="s">
        <v>13</v>
      </c>
    </row>
    <row r="24" spans="3:8" x14ac:dyDescent="0.25">
      <c r="C24" s="216" t="s">
        <v>1</v>
      </c>
      <c r="D24" s="29" t="s">
        <v>6</v>
      </c>
      <c r="E24" s="30">
        <f>3.28*0.3</f>
        <v>0.98399999999999987</v>
      </c>
      <c r="F24" s="218">
        <v>2</v>
      </c>
      <c r="G24" s="31"/>
      <c r="H24" s="31"/>
    </row>
    <row r="25" spans="3:8" ht="15.75" thickBot="1" x14ac:dyDescent="0.3">
      <c r="C25" s="217"/>
      <c r="D25" s="33" t="s">
        <v>7</v>
      </c>
      <c r="E25" s="34">
        <f>D20/12</f>
        <v>1.3333333333333333</v>
      </c>
      <c r="F25" s="219"/>
      <c r="G25" s="31"/>
      <c r="H25" s="31"/>
    </row>
    <row r="26" spans="3:8" x14ac:dyDescent="0.25">
      <c r="C26" s="216" t="s">
        <v>2</v>
      </c>
      <c r="D26" s="29" t="s">
        <v>44</v>
      </c>
      <c r="E26" s="30">
        <f>0.4*D20</f>
        <v>6.4</v>
      </c>
      <c r="F26" s="218">
        <v>14</v>
      </c>
      <c r="G26" s="31"/>
      <c r="H26" s="31"/>
    </row>
    <row r="27" spans="3:8" ht="15.75" thickBot="1" x14ac:dyDescent="0.3">
      <c r="C27" s="217"/>
      <c r="D27" s="33" t="s">
        <v>45</v>
      </c>
      <c r="E27" s="34">
        <f>0.6*D20</f>
        <v>9.6</v>
      </c>
      <c r="F27" s="219"/>
      <c r="G27" s="31"/>
      <c r="H27" s="31"/>
    </row>
    <row r="28" spans="3:8" x14ac:dyDescent="0.25">
      <c r="C28" s="216" t="s">
        <v>50</v>
      </c>
      <c r="D28" s="29" t="s">
        <v>46</v>
      </c>
      <c r="E28" s="30">
        <f>0.07*D20</f>
        <v>1.1200000000000001</v>
      </c>
      <c r="F28" s="220">
        <v>3</v>
      </c>
      <c r="G28" s="31"/>
      <c r="H28" s="31"/>
    </row>
    <row r="29" spans="3:8" ht="15.75" thickBot="1" x14ac:dyDescent="0.3">
      <c r="C29" s="217"/>
      <c r="D29" s="33" t="s">
        <v>51</v>
      </c>
      <c r="E29" s="34">
        <f>0.12*D20</f>
        <v>1.92</v>
      </c>
      <c r="F29" s="221"/>
      <c r="G29" s="31"/>
      <c r="H29" s="31"/>
    </row>
    <row r="30" spans="3:8" x14ac:dyDescent="0.25">
      <c r="C30" s="216" t="s">
        <v>3</v>
      </c>
      <c r="D30" s="29" t="s">
        <v>46</v>
      </c>
      <c r="E30" s="30">
        <f>D20*0.07</f>
        <v>1.1200000000000001</v>
      </c>
      <c r="F30" s="218">
        <v>2.5</v>
      </c>
      <c r="G30" s="31"/>
      <c r="H30" s="31"/>
    </row>
    <row r="31" spans="3:8" ht="15.75" thickBot="1" x14ac:dyDescent="0.3">
      <c r="C31" s="217"/>
      <c r="D31" s="33" t="s">
        <v>47</v>
      </c>
      <c r="E31" s="34">
        <f>D20*0.1</f>
        <v>1.6</v>
      </c>
      <c r="F31" s="219"/>
      <c r="G31" s="31"/>
      <c r="H31" s="31"/>
    </row>
    <row r="32" spans="3:8" ht="15.75" thickBot="1" x14ac:dyDescent="0.3">
      <c r="C32" s="212" t="s">
        <v>141</v>
      </c>
      <c r="D32" s="213"/>
      <c r="E32" s="324"/>
      <c r="F32" s="4">
        <v>4</v>
      </c>
      <c r="G32" s="31"/>
      <c r="H32" s="31"/>
    </row>
    <row r="33" spans="3:11" ht="15.75" thickBot="1" x14ac:dyDescent="0.3">
      <c r="C33" s="222" t="s">
        <v>48</v>
      </c>
      <c r="D33" s="223"/>
      <c r="E33" s="223"/>
      <c r="F33" s="35">
        <f>F26/3</f>
        <v>4.666666666666667</v>
      </c>
      <c r="G33" s="31"/>
      <c r="H33" s="31"/>
    </row>
    <row r="34" spans="3:11" ht="15.75" thickBot="1" x14ac:dyDescent="0.3">
      <c r="C34" s="224" t="s">
        <v>49</v>
      </c>
      <c r="D34" s="225"/>
      <c r="E34" s="225"/>
      <c r="F34" s="8">
        <f>(2*F26)/3</f>
        <v>9.3333333333333339</v>
      </c>
      <c r="G34" s="31"/>
      <c r="H34" s="31"/>
    </row>
    <row r="35" spans="3:11" ht="15.75" thickBot="1" x14ac:dyDescent="0.3">
      <c r="C35" s="212" t="s">
        <v>4</v>
      </c>
      <c r="D35" s="213"/>
      <c r="E35" s="214"/>
      <c r="F35" s="8">
        <f>F26-F36-F28</f>
        <v>6.3333333333333321</v>
      </c>
      <c r="G35" s="31"/>
      <c r="H35" s="31"/>
    </row>
    <row r="36" spans="3:11" ht="15.75" thickBot="1" x14ac:dyDescent="0.3">
      <c r="C36" s="212" t="s">
        <v>5</v>
      </c>
      <c r="D36" s="213"/>
      <c r="E36" s="214"/>
      <c r="F36" s="8">
        <f>F33</f>
        <v>4.666666666666667</v>
      </c>
      <c r="G36" s="31"/>
      <c r="H36" s="31"/>
    </row>
    <row r="41" spans="3:11" ht="15.75" thickBot="1" x14ac:dyDescent="0.3"/>
    <row r="42" spans="3:11" x14ac:dyDescent="0.25">
      <c r="C42" s="242" t="s">
        <v>14</v>
      </c>
      <c r="D42" s="243"/>
    </row>
    <row r="43" spans="3:11" ht="15.75" thickBot="1" x14ac:dyDescent="0.3">
      <c r="C43" s="23" t="s">
        <v>15</v>
      </c>
      <c r="D43" s="36">
        <f>(1-SIN(E18))/(1+SIN(E18))</f>
        <v>0.33333333333333331</v>
      </c>
    </row>
    <row r="44" spans="3:11" x14ac:dyDescent="0.25">
      <c r="C44" s="23" t="s">
        <v>0</v>
      </c>
      <c r="D44" s="36">
        <f>D20</f>
        <v>16</v>
      </c>
      <c r="G44" s="244"/>
      <c r="H44" s="246">
        <f>H56/D48</f>
        <v>7.453399658203125</v>
      </c>
      <c r="I44" s="230" t="str">
        <f>IF(H44&gt;2,"OK!","REDESIGN")</f>
        <v>OK!</v>
      </c>
      <c r="J44" s="248"/>
      <c r="K44" s="248"/>
    </row>
    <row r="45" spans="3:11" ht="15.75" thickBot="1" x14ac:dyDescent="0.3">
      <c r="C45" s="23" t="s">
        <v>16</v>
      </c>
      <c r="D45" s="36">
        <f>D21/D16</f>
        <v>0</v>
      </c>
      <c r="G45" s="245"/>
      <c r="H45" s="247"/>
      <c r="I45" s="230"/>
      <c r="J45" s="248"/>
      <c r="K45" s="248"/>
    </row>
    <row r="46" spans="3:11" x14ac:dyDescent="0.25">
      <c r="C46" s="23" t="s">
        <v>27</v>
      </c>
      <c r="D46" s="36">
        <f>((D44^2)+3*(D44)*(D45))/(3*(D44+2*(D45)))</f>
        <v>5.333333333333333</v>
      </c>
    </row>
    <row r="47" spans="3:11" x14ac:dyDescent="0.25">
      <c r="C47" s="23" t="s">
        <v>28</v>
      </c>
      <c r="D47" s="36">
        <f>1/2*D43*D16*D44*(D44+2*(D45))</f>
        <v>4266.6666666666661</v>
      </c>
    </row>
    <row r="48" spans="3:11" ht="15.75" thickBot="1" x14ac:dyDescent="0.3">
      <c r="C48" s="25" t="s">
        <v>29</v>
      </c>
      <c r="D48" s="37">
        <f>D47*D46</f>
        <v>22755.555555555551</v>
      </c>
    </row>
    <row r="49" spans="3:8" ht="15.75" thickBot="1" x14ac:dyDescent="0.3"/>
    <row r="50" spans="3:8" ht="17.25" x14ac:dyDescent="0.25">
      <c r="C50" s="38" t="s">
        <v>24</v>
      </c>
      <c r="D50" s="39" t="s">
        <v>18</v>
      </c>
      <c r="E50" s="39" t="s">
        <v>20</v>
      </c>
      <c r="F50" s="39" t="s">
        <v>19</v>
      </c>
      <c r="G50" s="39" t="s">
        <v>17</v>
      </c>
      <c r="H50" s="40" t="s">
        <v>30</v>
      </c>
    </row>
    <row r="51" spans="3:8" x14ac:dyDescent="0.25">
      <c r="C51" s="41" t="s">
        <v>21</v>
      </c>
      <c r="D51" s="42">
        <f>F24*U6*1</f>
        <v>27</v>
      </c>
      <c r="E51" s="43">
        <f>D17</f>
        <v>150</v>
      </c>
      <c r="F51" s="43">
        <f>D51*E51</f>
        <v>4050</v>
      </c>
      <c r="G51" s="42">
        <f>F36+U7+F24/2</f>
        <v>6.666666666666667</v>
      </c>
      <c r="H51" s="36">
        <f>F51*G51</f>
        <v>27000</v>
      </c>
    </row>
    <row r="52" spans="3:8" x14ac:dyDescent="0.25">
      <c r="C52" s="41" t="s">
        <v>22</v>
      </c>
      <c r="D52" s="42">
        <f>1/2*(U7*U6)*1</f>
        <v>6.75</v>
      </c>
      <c r="E52" s="43">
        <f>D17</f>
        <v>150</v>
      </c>
      <c r="F52" s="43">
        <f t="shared" ref="F52:F54" si="0">D52*E52</f>
        <v>1012.5</v>
      </c>
      <c r="G52" s="42">
        <f>F36+U7/2</f>
        <v>5.166666666666667</v>
      </c>
      <c r="H52" s="36">
        <f>F52*G52</f>
        <v>5231.25</v>
      </c>
    </row>
    <row r="53" spans="3:8" x14ac:dyDescent="0.25">
      <c r="C53" s="41" t="s">
        <v>23</v>
      </c>
      <c r="D53" s="42">
        <f>F26*F30*1</f>
        <v>35</v>
      </c>
      <c r="E53" s="43">
        <f>D17</f>
        <v>150</v>
      </c>
      <c r="F53" s="43">
        <f t="shared" si="0"/>
        <v>5250</v>
      </c>
      <c r="G53" s="42">
        <f>F26/2</f>
        <v>7</v>
      </c>
      <c r="H53" s="36">
        <f>F53*G53</f>
        <v>36750</v>
      </c>
    </row>
    <row r="54" spans="3:8" x14ac:dyDescent="0.25">
      <c r="C54" s="41" t="s">
        <v>25</v>
      </c>
      <c r="D54" s="42">
        <f>(U6+D45)*F35</f>
        <v>85.499999999999986</v>
      </c>
      <c r="E54" s="43">
        <f>D16</f>
        <v>100</v>
      </c>
      <c r="F54" s="44">
        <f t="shared" si="0"/>
        <v>8549.9999999999982</v>
      </c>
      <c r="G54" s="42">
        <f>F36+F28+F35/2</f>
        <v>10.833333333333332</v>
      </c>
      <c r="H54" s="36">
        <f>F54*G54</f>
        <v>92624.999999999971</v>
      </c>
    </row>
    <row r="55" spans="3:8" ht="15.75" thickBot="1" x14ac:dyDescent="0.3">
      <c r="C55" s="57" t="s">
        <v>142</v>
      </c>
      <c r="D55" s="34">
        <f>F32*F24*1</f>
        <v>8</v>
      </c>
      <c r="E55" s="149">
        <f>D17</f>
        <v>150</v>
      </c>
      <c r="F55" s="150">
        <f>D55*E55</f>
        <v>1200</v>
      </c>
      <c r="G55" s="34">
        <f>F36+U7+(U8/2)</f>
        <v>6.666666666666667</v>
      </c>
      <c r="H55" s="37">
        <f>F55*G55</f>
        <v>8000</v>
      </c>
    </row>
    <row r="56" spans="3:8" ht="15.75" thickBot="1" x14ac:dyDescent="0.3">
      <c r="F56" s="151">
        <f>SUM(F51:F55)</f>
        <v>20062.5</v>
      </c>
      <c r="H56" s="152">
        <f>SUM(H51:H55)</f>
        <v>169606.24999999997</v>
      </c>
    </row>
    <row r="59" spans="3:8" ht="15.75" thickBot="1" x14ac:dyDescent="0.3"/>
    <row r="60" spans="3:8" ht="15.75" x14ac:dyDescent="0.25">
      <c r="C60" s="253" t="s">
        <v>34</v>
      </c>
      <c r="D60" s="254"/>
    </row>
    <row r="61" spans="3:8" ht="18" customHeight="1" x14ac:dyDescent="0.25">
      <c r="C61" s="249"/>
      <c r="D61" s="251">
        <f>(0.5*F56)/D47</f>
        <v>2.3510742187500004</v>
      </c>
      <c r="E61" s="230" t="str">
        <f>IF(D61&gt;=1.5,"OK!","REDESIGN")</f>
        <v>OK!</v>
      </c>
    </row>
    <row r="62" spans="3:8" ht="15.75" customHeight="1" thickBot="1" x14ac:dyDescent="0.3">
      <c r="C62" s="250"/>
      <c r="D62" s="252"/>
      <c r="E62" s="230"/>
    </row>
    <row r="66" spans="3:8" ht="15.75" thickBot="1" x14ac:dyDescent="0.3"/>
    <row r="67" spans="3:8" ht="15.75" thickBot="1" x14ac:dyDescent="0.3">
      <c r="F67" s="38" t="s">
        <v>38</v>
      </c>
      <c r="G67" s="39" t="s">
        <v>36</v>
      </c>
      <c r="H67" s="40" t="s">
        <v>39</v>
      </c>
    </row>
    <row r="68" spans="3:8" ht="15.75" x14ac:dyDescent="0.25">
      <c r="C68" s="253" t="s">
        <v>35</v>
      </c>
      <c r="D68" s="254"/>
      <c r="F68" s="47" t="s">
        <v>37</v>
      </c>
      <c r="G68" s="48">
        <f>(4*(F26)-6*(D69))*((F56)/F26^2)</f>
        <v>1236.7134353741508</v>
      </c>
      <c r="H68" s="49">
        <f>((6*D69)-(2*F26))*(F56/F26^2)</f>
        <v>1629.3579931972779</v>
      </c>
    </row>
    <row r="69" spans="3:8" x14ac:dyDescent="0.25">
      <c r="C69" s="50" t="s">
        <v>104</v>
      </c>
      <c r="D69" s="49">
        <f>(H56-D48)/F56</f>
        <v>7.3196607822776025</v>
      </c>
      <c r="E69" s="51"/>
      <c r="F69" s="47" t="s">
        <v>41</v>
      </c>
      <c r="G69" s="48">
        <f>(2*F56)/F26</f>
        <v>2866.0714285714284</v>
      </c>
      <c r="H69" s="49">
        <v>0</v>
      </c>
    </row>
    <row r="70" spans="3:8" ht="15.75" thickBot="1" x14ac:dyDescent="0.3">
      <c r="C70" s="50" t="s">
        <v>105</v>
      </c>
      <c r="D70" s="49">
        <f>F26/3</f>
        <v>4.666666666666667</v>
      </c>
      <c r="E70" s="51"/>
      <c r="F70" s="52" t="s">
        <v>40</v>
      </c>
      <c r="G70" s="53">
        <f>(2*F56)/(3*D69)</f>
        <v>1827.2704702905924</v>
      </c>
      <c r="H70" s="54">
        <v>0</v>
      </c>
    </row>
    <row r="71" spans="3:8" x14ac:dyDescent="0.25">
      <c r="C71" s="50" t="s">
        <v>42</v>
      </c>
      <c r="D71" s="55" t="str">
        <f>IF(D69 &gt; D70,"a &gt; l/3",IF(D69 = D70,"a = l/3","a &lt; l/3"))</f>
        <v>a &gt; l/3</v>
      </c>
    </row>
    <row r="72" spans="3:8" x14ac:dyDescent="0.25">
      <c r="C72" s="50" t="s">
        <v>106</v>
      </c>
      <c r="D72" s="49">
        <f>IF(D71=F68,G68,IF(D71=F69,G69,G70))</f>
        <v>1236.7134353741508</v>
      </c>
    </row>
    <row r="73" spans="3:8" x14ac:dyDescent="0.25">
      <c r="C73" s="50" t="s">
        <v>107</v>
      </c>
      <c r="D73" s="56">
        <f>IF(D71=F68,H68,IF(D71=F69,H69,H70))</f>
        <v>1629.3579931972779</v>
      </c>
    </row>
    <row r="74" spans="3:8" ht="15.75" thickBot="1" x14ac:dyDescent="0.3">
      <c r="C74" s="32" t="s">
        <v>108</v>
      </c>
      <c r="D74" s="54">
        <f>IF(D72&gt;D73, D72, D73)</f>
        <v>1629.3579931972779</v>
      </c>
    </row>
    <row r="75" spans="3:8" ht="15.75" thickBot="1" x14ac:dyDescent="0.3"/>
    <row r="76" spans="3:8" ht="15.75" customHeight="1" x14ac:dyDescent="0.25">
      <c r="C76" s="226" t="str">
        <f>IF(D19&gt;D74, "qa &gt; q", "qa &lt; q")</f>
        <v>qa &gt; q</v>
      </c>
      <c r="D76" s="227"/>
      <c r="E76" s="230" t="str">
        <f>IF(D19&gt;D74,"OK!","REDESIGN")</f>
        <v>OK!</v>
      </c>
    </row>
    <row r="77" spans="3:8" ht="15.75" thickBot="1" x14ac:dyDescent="0.3">
      <c r="C77" s="228"/>
      <c r="D77" s="229"/>
      <c r="E77" s="230"/>
    </row>
    <row r="79" spans="3:8" ht="15.75" thickBot="1" x14ac:dyDescent="0.3"/>
    <row r="80" spans="3:8" x14ac:dyDescent="0.25">
      <c r="F80" s="38" t="s">
        <v>43</v>
      </c>
      <c r="G80" s="39" t="s">
        <v>34</v>
      </c>
      <c r="H80" s="40" t="s">
        <v>35</v>
      </c>
    </row>
    <row r="81" spans="3:31" ht="15.75" thickBot="1" x14ac:dyDescent="0.3">
      <c r="F81" s="57" t="str">
        <f>I44</f>
        <v>OK!</v>
      </c>
      <c r="G81" s="58" t="str">
        <f>E61</f>
        <v>OK!</v>
      </c>
      <c r="H81" s="59" t="str">
        <f>E76</f>
        <v>OK!</v>
      </c>
    </row>
    <row r="83" spans="3:31" ht="15.75" thickBot="1" x14ac:dyDescent="0.3"/>
    <row r="84" spans="3:31" ht="24" customHeight="1" thickBot="1" x14ac:dyDescent="0.3">
      <c r="C84" s="231" t="s">
        <v>52</v>
      </c>
      <c r="D84" s="232"/>
      <c r="E84" s="232"/>
      <c r="F84" s="232"/>
      <c r="G84" s="233"/>
      <c r="O84" s="10" t="str">
        <f>N2</f>
        <v>2ft</v>
      </c>
    </row>
    <row r="85" spans="3:31" ht="20.25" customHeight="1" thickTop="1" thickBot="1" x14ac:dyDescent="0.3">
      <c r="C85" s="234"/>
      <c r="D85" s="235"/>
      <c r="E85" s="235"/>
      <c r="F85" s="235"/>
      <c r="G85" s="236"/>
      <c r="N85" s="182"/>
      <c r="O85" s="202"/>
      <c r="P85" s="186" t="str">
        <f>R3</f>
        <v>13.5ft</v>
      </c>
    </row>
    <row r="86" spans="3:31" x14ac:dyDescent="0.25">
      <c r="N86" s="182"/>
      <c r="O86" s="237"/>
      <c r="P86" s="186"/>
    </row>
    <row r="87" spans="3:31" ht="15.75" thickBot="1" x14ac:dyDescent="0.3">
      <c r="N87" s="182"/>
      <c r="O87" s="237"/>
      <c r="P87" s="186"/>
    </row>
    <row r="88" spans="3:31" ht="21.75" thickBot="1" x14ac:dyDescent="0.4">
      <c r="C88" s="239" t="s">
        <v>53</v>
      </c>
      <c r="D88" s="240"/>
      <c r="E88" s="240"/>
      <c r="F88" s="240"/>
      <c r="G88" s="241"/>
      <c r="N88" s="182"/>
      <c r="O88" s="237"/>
      <c r="P88" s="186"/>
      <c r="Y88" s="60" t="s">
        <v>66</v>
      </c>
      <c r="Z88" s="61" t="s">
        <v>67</v>
      </c>
      <c r="AA88" s="61" t="s">
        <v>68</v>
      </c>
      <c r="AB88" s="61" t="s">
        <v>69</v>
      </c>
      <c r="AC88" s="61" t="s">
        <v>70</v>
      </c>
      <c r="AD88" s="62" t="s">
        <v>71</v>
      </c>
      <c r="AE88" s="31"/>
    </row>
    <row r="89" spans="3:31" x14ac:dyDescent="0.25">
      <c r="N89" s="182"/>
      <c r="O89" s="237"/>
      <c r="P89" s="186"/>
      <c r="X89">
        <v>2</v>
      </c>
      <c r="Y89" s="63">
        <v>6</v>
      </c>
      <c r="Z89" s="64" t="s">
        <v>72</v>
      </c>
      <c r="AA89" s="65">
        <f>X89/8</f>
        <v>0.25</v>
      </c>
      <c r="AB89" s="64">
        <v>6</v>
      </c>
      <c r="AC89" s="64">
        <v>28.3</v>
      </c>
      <c r="AD89" s="66">
        <f>(PI()/4)*Table142[[#This Row],[Diameter (inch)]]^2</f>
        <v>4.9087385212340517E-2</v>
      </c>
      <c r="AE89" s="31"/>
    </row>
    <row r="90" spans="3:31" ht="15.75" thickBot="1" x14ac:dyDescent="0.3">
      <c r="C90" s="67" t="s">
        <v>57</v>
      </c>
      <c r="D90" s="6">
        <v>1.6</v>
      </c>
      <c r="F90" s="67" t="s">
        <v>62</v>
      </c>
      <c r="G90" s="6">
        <v>2.5</v>
      </c>
      <c r="N90" s="183"/>
      <c r="O90" s="238"/>
      <c r="P90" s="186"/>
      <c r="X90">
        <v>3</v>
      </c>
      <c r="Y90" s="63">
        <v>8</v>
      </c>
      <c r="Z90" s="64" t="s">
        <v>73</v>
      </c>
      <c r="AA90" s="65">
        <f t="shared" ref="AA90:AA98" si="1">X90/8</f>
        <v>0.375</v>
      </c>
      <c r="AB90" s="64">
        <v>8</v>
      </c>
      <c r="AC90" s="64">
        <v>50.3</v>
      </c>
      <c r="AD90" s="66">
        <f>(PI()/4)*Table142[[#This Row],[Diameter (inch)]]^2</f>
        <v>0.11044661672776616</v>
      </c>
      <c r="AE90" s="31"/>
    </row>
    <row r="91" spans="3:31" ht="16.5" thickTop="1" thickBot="1" x14ac:dyDescent="0.3">
      <c r="N91" s="195" t="str">
        <f>F28&amp;"ft"</f>
        <v>3ft</v>
      </c>
      <c r="O91" s="195"/>
      <c r="X91">
        <v>4</v>
      </c>
      <c r="Y91" s="63">
        <v>10</v>
      </c>
      <c r="Z91" s="64" t="s">
        <v>74</v>
      </c>
      <c r="AA91" s="65">
        <f t="shared" si="1"/>
        <v>0.5</v>
      </c>
      <c r="AB91" s="64">
        <v>10</v>
      </c>
      <c r="AC91" s="64">
        <v>78.5</v>
      </c>
      <c r="AD91" s="66">
        <f>(PI()/4)*Table142[[#This Row],[Diameter (inch)]]^2</f>
        <v>0.19634954084936207</v>
      </c>
      <c r="AE91" s="31"/>
    </row>
    <row r="92" spans="3:31" ht="18" customHeight="1" thickBot="1" x14ac:dyDescent="0.3">
      <c r="E92" s="68" t="str">
        <f xml:space="preserve"> "Factor " &amp; D90</f>
        <v>Factor 1.6</v>
      </c>
      <c r="X92">
        <v>5</v>
      </c>
      <c r="Y92" s="63">
        <v>12</v>
      </c>
      <c r="Z92" s="64" t="s">
        <v>75</v>
      </c>
      <c r="AA92" s="65">
        <f t="shared" si="1"/>
        <v>0.625</v>
      </c>
      <c r="AB92" s="64">
        <v>12</v>
      </c>
      <c r="AC92" s="64">
        <v>113.1</v>
      </c>
      <c r="AD92" s="66">
        <f>(PI()/4)*Table142[[#This Row],[Diameter (inch)]]^2</f>
        <v>0.30679615757712825</v>
      </c>
      <c r="AE92" s="31"/>
    </row>
    <row r="93" spans="3:31" ht="18" customHeight="1" thickBot="1" x14ac:dyDescent="0.3">
      <c r="C93" s="69" t="s">
        <v>54</v>
      </c>
      <c r="D93" s="70">
        <f>1/2*(D43)*(D16)*U6*U6</f>
        <v>3037.4999999999995</v>
      </c>
      <c r="E93" s="71">
        <f>D93*D90</f>
        <v>4859.9999999999991</v>
      </c>
      <c r="G93" s="263" t="s">
        <v>90</v>
      </c>
      <c r="H93" s="264"/>
      <c r="I93" s="72"/>
      <c r="X93">
        <v>6</v>
      </c>
      <c r="Y93" s="63">
        <v>16</v>
      </c>
      <c r="Z93" s="64" t="s">
        <v>76</v>
      </c>
      <c r="AA93" s="65">
        <f t="shared" si="1"/>
        <v>0.75</v>
      </c>
      <c r="AB93" s="64">
        <v>16</v>
      </c>
      <c r="AC93" s="64">
        <v>201.1</v>
      </c>
      <c r="AD93" s="66">
        <f>(PI()/4)*Table142[[#This Row],[Diameter (inch)]]^2</f>
        <v>0.44178646691106466</v>
      </c>
      <c r="AE93" s="31"/>
    </row>
    <row r="94" spans="3:31" ht="18" customHeight="1" x14ac:dyDescent="0.25">
      <c r="C94" s="23" t="s">
        <v>55</v>
      </c>
      <c r="D94" s="65">
        <f>D43*D16*D45*U6</f>
        <v>0</v>
      </c>
      <c r="E94" s="73">
        <f>D94*D90</f>
        <v>0</v>
      </c>
      <c r="G94" s="74" t="s">
        <v>91</v>
      </c>
      <c r="H94" s="75">
        <f>E95</f>
        <v>4859.9999999999991</v>
      </c>
      <c r="I94" s="230" t="str">
        <f>IF(H95&gt;H94,"OK!","REDESIGN")</f>
        <v>OK!</v>
      </c>
      <c r="X94">
        <v>7</v>
      </c>
      <c r="Y94" s="63">
        <v>20</v>
      </c>
      <c r="Z94" s="64" t="s">
        <v>77</v>
      </c>
      <c r="AA94" s="65">
        <f t="shared" si="1"/>
        <v>0.875</v>
      </c>
      <c r="AB94" s="64">
        <v>20</v>
      </c>
      <c r="AC94" s="64">
        <v>314.2</v>
      </c>
      <c r="AD94" s="66">
        <f>(PI()/4)*Table142[[#This Row],[Diameter (inch)]]^2</f>
        <v>0.6013204688511713</v>
      </c>
      <c r="AE94" s="31"/>
    </row>
    <row r="95" spans="3:31" ht="18" customHeight="1" thickBot="1" x14ac:dyDescent="0.3">
      <c r="C95" s="23" t="s">
        <v>56</v>
      </c>
      <c r="D95" s="65">
        <f>D93+D94</f>
        <v>3037.4999999999995</v>
      </c>
      <c r="E95" s="73">
        <f>D95*D90</f>
        <v>4859.9999999999991</v>
      </c>
      <c r="G95" s="32" t="s">
        <v>92</v>
      </c>
      <c r="H95" s="37">
        <f>0.75*2*SQRT(D14)*D98*D99</f>
        <v>33027.670217561514</v>
      </c>
      <c r="I95" s="230"/>
      <c r="X95">
        <v>8</v>
      </c>
      <c r="Y95" s="63">
        <v>25</v>
      </c>
      <c r="Z95" s="64" t="s">
        <v>78</v>
      </c>
      <c r="AA95" s="65">
        <f t="shared" si="1"/>
        <v>1</v>
      </c>
      <c r="AB95" s="64">
        <v>25</v>
      </c>
      <c r="AC95" s="64">
        <v>490.9</v>
      </c>
      <c r="AD95" s="66">
        <f>(PI()/4)*Table142[[#This Row],[Diameter (inch)]]^2</f>
        <v>0.78539816339744828</v>
      </c>
      <c r="AE95" s="31"/>
    </row>
    <row r="96" spans="3:31" ht="18" customHeight="1" thickBot="1" x14ac:dyDescent="0.3">
      <c r="C96" s="25" t="s">
        <v>58</v>
      </c>
      <c r="D96" s="76">
        <f>(D93*U6/3)+(D94*(U6*2/3))</f>
        <v>13668.749999999998</v>
      </c>
      <c r="E96" s="77">
        <f>(E93*U6/3)+(E94*(U6*2/3))</f>
        <v>21869.999999999996</v>
      </c>
      <c r="X96">
        <v>10</v>
      </c>
      <c r="Y96" s="63">
        <v>32</v>
      </c>
      <c r="Z96" s="64" t="s">
        <v>79</v>
      </c>
      <c r="AA96" s="65">
        <f t="shared" si="1"/>
        <v>1.25</v>
      </c>
      <c r="AB96" s="64">
        <v>32</v>
      </c>
      <c r="AC96" s="64">
        <v>804.2</v>
      </c>
      <c r="AD96" s="66">
        <f>(PI()/4)*Table142[[#This Row],[Diameter (inch)]]^2</f>
        <v>1.227184630308513</v>
      </c>
      <c r="AE96" s="31"/>
    </row>
    <row r="97" spans="3:34" ht="15.75" thickBot="1" x14ac:dyDescent="0.3">
      <c r="X97">
        <v>13</v>
      </c>
      <c r="Y97" s="63">
        <v>40</v>
      </c>
      <c r="Z97" s="64" t="s">
        <v>80</v>
      </c>
      <c r="AA97" s="65">
        <f t="shared" si="1"/>
        <v>1.625</v>
      </c>
      <c r="AB97" s="64">
        <v>40</v>
      </c>
      <c r="AC97" s="64">
        <v>1256.5999999999999</v>
      </c>
      <c r="AD97" s="66">
        <f>(PI()/4)*Table142[[#This Row],[Diameter (inch)]]^2</f>
        <v>2.0739420252213869</v>
      </c>
      <c r="AE97" s="31"/>
    </row>
    <row r="98" spans="3:34" x14ac:dyDescent="0.25">
      <c r="C98" s="69" t="s">
        <v>64</v>
      </c>
      <c r="D98" s="78">
        <v>12</v>
      </c>
      <c r="X98">
        <v>16</v>
      </c>
      <c r="Y98" s="79">
        <v>50</v>
      </c>
      <c r="Z98" s="80" t="s">
        <v>81</v>
      </c>
      <c r="AA98" s="65">
        <f t="shared" si="1"/>
        <v>2</v>
      </c>
      <c r="AB98" s="80">
        <v>50</v>
      </c>
      <c r="AC98" s="80">
        <v>1963.5</v>
      </c>
      <c r="AD98" s="66">
        <f>(PI()/4)*Table142[[#This Row],[Diameter (inch)]]^2</f>
        <v>3.1415926535897931</v>
      </c>
      <c r="AE98" s="31"/>
    </row>
    <row r="99" spans="3:34" x14ac:dyDescent="0.25">
      <c r="C99" s="23" t="s">
        <v>63</v>
      </c>
      <c r="D99" s="81">
        <f>(F28-(G90/12))*12</f>
        <v>33.5</v>
      </c>
      <c r="Y99" s="31"/>
      <c r="Z99" s="31"/>
      <c r="AA99" s="31"/>
      <c r="AB99" s="31"/>
      <c r="AC99" s="31"/>
      <c r="AD99" s="31"/>
      <c r="AE99" s="31"/>
      <c r="AF99" s="31"/>
      <c r="AG99" s="31"/>
      <c r="AH99" s="31"/>
    </row>
    <row r="100" spans="3:34" x14ac:dyDescent="0.25">
      <c r="C100" s="23" t="s">
        <v>61</v>
      </c>
      <c r="D100" s="82">
        <f>((0.85*D14)/D15)*(1-(SQRT(1-(2*E96*12)/(0.85*0.9*D14*D98*D99^2))))</f>
        <v>3.6242749389201747E-4</v>
      </c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</row>
    <row r="101" spans="3:34" ht="18" thickBot="1" x14ac:dyDescent="0.3">
      <c r="C101" s="25" t="s">
        <v>65</v>
      </c>
      <c r="D101" s="83">
        <f>D100*D99*D98</f>
        <v>0.14569585254459103</v>
      </c>
      <c r="AF101" s="31"/>
      <c r="AG101" s="31"/>
      <c r="AH101" s="31"/>
    </row>
    <row r="102" spans="3:34" x14ac:dyDescent="0.25">
      <c r="AF102" s="31"/>
      <c r="AG102" s="31"/>
      <c r="AH102" s="31"/>
    </row>
    <row r="103" spans="3:34" ht="18" customHeight="1" x14ac:dyDescent="0.25">
      <c r="C103" s="255" t="s">
        <v>101</v>
      </c>
      <c r="D103" s="67" t="s">
        <v>99</v>
      </c>
      <c r="E103" s="82">
        <f>200/D15</f>
        <v>3.3333333333333335E-3</v>
      </c>
      <c r="AF103" s="31"/>
      <c r="AG103" s="31"/>
      <c r="AH103" s="31"/>
    </row>
    <row r="104" spans="3:34" ht="18" customHeight="1" x14ac:dyDescent="0.25">
      <c r="C104" s="255"/>
      <c r="D104" s="67" t="s">
        <v>100</v>
      </c>
      <c r="E104" s="82">
        <f>((3*SQRT(D14)/D15))</f>
        <v>2.7386127875258306E-3</v>
      </c>
      <c r="AF104" s="31"/>
      <c r="AG104" s="31"/>
      <c r="AH104" s="31"/>
    </row>
    <row r="105" spans="3:34" ht="18" customHeight="1" thickBot="1" x14ac:dyDescent="0.3">
      <c r="AF105" s="31"/>
      <c r="AG105" s="31"/>
      <c r="AH105" s="31"/>
    </row>
    <row r="106" spans="3:34" ht="18" customHeight="1" thickBot="1" x14ac:dyDescent="0.3">
      <c r="C106" s="26" t="s">
        <v>102</v>
      </c>
      <c r="D106" s="84">
        <f>IF(AND(D100&gt;E103, D100&gt;E104),
     D100*D98*D99,
     IF(AND(E103&gt;D100, E103&gt;E104),
         E103*D98*D99,
         E104*D98*D99
     )
)</f>
        <v>1.34</v>
      </c>
      <c r="AF106" s="31"/>
      <c r="AG106" s="31"/>
      <c r="AH106" s="31"/>
    </row>
    <row r="107" spans="3:34" ht="18" customHeight="1" thickBot="1" x14ac:dyDescent="0.3">
      <c r="AF107" s="31"/>
      <c r="AG107" s="31"/>
      <c r="AH107" s="31"/>
    </row>
    <row r="108" spans="3:34" ht="18" customHeight="1" thickBot="1" x14ac:dyDescent="0.3">
      <c r="C108" s="256" t="s">
        <v>110</v>
      </c>
      <c r="D108" s="257"/>
      <c r="E108" s="258"/>
      <c r="AF108" s="31"/>
      <c r="AG108" s="31"/>
      <c r="AH108" s="31"/>
    </row>
    <row r="109" spans="3:34" ht="18" customHeight="1" x14ac:dyDescent="0.25">
      <c r="C109" s="85" t="s">
        <v>83</v>
      </c>
      <c r="D109" s="86" t="s">
        <v>82</v>
      </c>
      <c r="E109" s="87" t="s">
        <v>89</v>
      </c>
      <c r="F109" s="259" t="str">
        <f>C110&amp;" @ "&amp;E110&amp;" c/c"</f>
        <v>#8 @ 7 c/c</v>
      </c>
      <c r="AF109" s="31"/>
      <c r="AG109" s="31"/>
      <c r="AH109" s="31"/>
    </row>
    <row r="110" spans="3:34" ht="18" customHeight="1" thickBot="1" x14ac:dyDescent="0.3">
      <c r="C110" s="3" t="s">
        <v>78</v>
      </c>
      <c r="D110" s="88">
        <f>_xlfn.XLOOKUP(C110,Table142[Inch-Pound Bar No.],Table142[Area (inch²)],"Change Bar No")</f>
        <v>0.78539816339744828</v>
      </c>
      <c r="E110" s="89">
        <f>ROUNDDOWN(((D110/D106)*12),0.1)</f>
        <v>7</v>
      </c>
      <c r="F110" s="259"/>
      <c r="AF110" s="31"/>
      <c r="AG110" s="31"/>
      <c r="AH110" s="31"/>
    </row>
    <row r="111" spans="3:34" ht="18" customHeight="1" thickBot="1" x14ac:dyDescent="0.3">
      <c r="AF111" s="31"/>
      <c r="AG111" s="31"/>
      <c r="AH111" s="31"/>
    </row>
    <row r="112" spans="3:34" ht="18" customHeight="1" thickBot="1" x14ac:dyDescent="0.3">
      <c r="C112" s="260" t="s">
        <v>85</v>
      </c>
      <c r="D112" s="261"/>
      <c r="E112" s="261"/>
      <c r="F112" s="261"/>
      <c r="G112" s="262"/>
      <c r="AF112" s="31"/>
      <c r="AG112" s="31"/>
      <c r="AH112" s="31"/>
    </row>
    <row r="113" spans="3:34" ht="18" customHeight="1" thickBot="1" x14ac:dyDescent="0.3">
      <c r="C113" s="222" t="s">
        <v>86</v>
      </c>
      <c r="D113" s="223"/>
      <c r="E113" s="265">
        <f>0.0025*D98*(((F24*12)+(F28*12))/2)</f>
        <v>0.89999999999999991</v>
      </c>
      <c r="F113" s="265"/>
      <c r="G113" s="266"/>
      <c r="AF113" s="31"/>
      <c r="AG113" s="31"/>
      <c r="AH113" s="31"/>
    </row>
    <row r="114" spans="3:34" ht="18" customHeight="1" x14ac:dyDescent="0.25">
      <c r="C114" s="271" t="s">
        <v>87</v>
      </c>
      <c r="D114" s="273">
        <f>E113*2/3</f>
        <v>0.6</v>
      </c>
      <c r="E114" s="90" t="s">
        <v>83</v>
      </c>
      <c r="F114" s="91" t="s">
        <v>82</v>
      </c>
      <c r="G114" s="40" t="s">
        <v>89</v>
      </c>
      <c r="H114" s="270" t="str">
        <f>E115&amp;" @ "&amp;G115&amp;" c/c"</f>
        <v>#5 @ 6 c/c</v>
      </c>
      <c r="AF114" s="31"/>
      <c r="AG114" s="31"/>
      <c r="AH114" s="31"/>
    </row>
    <row r="115" spans="3:34" ht="18" customHeight="1" thickBot="1" x14ac:dyDescent="0.3">
      <c r="C115" s="272"/>
      <c r="D115" s="274"/>
      <c r="E115" s="3" t="s">
        <v>75</v>
      </c>
      <c r="F115" s="92">
        <f>_xlfn.XLOOKUP(E115,Table142[Inch-Pound Bar No.],Table142[Area (inch²)],"Change Bar No")</f>
        <v>0.30679615757712825</v>
      </c>
      <c r="G115" s="89">
        <f>ROUNDDOWN(((F115/D114)*12),0.1)</f>
        <v>6</v>
      </c>
      <c r="H115" s="270"/>
      <c r="AF115" s="31"/>
      <c r="AG115" s="31"/>
      <c r="AH115" s="31"/>
    </row>
    <row r="116" spans="3:34" ht="18" customHeight="1" x14ac:dyDescent="0.25">
      <c r="C116" s="275" t="s">
        <v>88</v>
      </c>
      <c r="D116" s="277">
        <f>E113*1/3</f>
        <v>0.3</v>
      </c>
      <c r="E116" s="93" t="s">
        <v>83</v>
      </c>
      <c r="F116" s="94" t="s">
        <v>82</v>
      </c>
      <c r="G116" s="95" t="s">
        <v>89</v>
      </c>
      <c r="H116" s="270" t="str">
        <f>E117&amp;" @ "&amp;G117&amp;" c/c"</f>
        <v>#4 @ 7 c/c</v>
      </c>
      <c r="AF116" s="31"/>
      <c r="AG116" s="31"/>
      <c r="AH116" s="31"/>
    </row>
    <row r="117" spans="3:34" ht="18" customHeight="1" thickBot="1" x14ac:dyDescent="0.3">
      <c r="C117" s="276"/>
      <c r="D117" s="278"/>
      <c r="E117" s="3" t="s">
        <v>74</v>
      </c>
      <c r="F117" s="92">
        <f>_xlfn.XLOOKUP(E117,Table142[Inch-Pound Bar No.],Table142[Area (inch²)],"Change Bar No")</f>
        <v>0.19634954084936207</v>
      </c>
      <c r="G117" s="89">
        <f>ROUNDDOWN(((F117/D116)*12),0.1)</f>
        <v>7</v>
      </c>
      <c r="H117" s="270"/>
      <c r="AF117" s="31"/>
      <c r="AG117" s="31"/>
      <c r="AH117" s="31"/>
    </row>
    <row r="118" spans="3:34" x14ac:dyDescent="0.25">
      <c r="AF118" s="31"/>
      <c r="AG118" s="31"/>
      <c r="AH118" s="31"/>
    </row>
    <row r="119" spans="3:34" x14ac:dyDescent="0.25">
      <c r="AF119" s="31"/>
      <c r="AG119" s="31"/>
      <c r="AH119" s="31"/>
    </row>
    <row r="120" spans="3:34" x14ac:dyDescent="0.25">
      <c r="AF120" s="31"/>
      <c r="AG120" s="31"/>
      <c r="AH120" s="31"/>
    </row>
    <row r="121" spans="3:34" ht="15.75" thickBot="1" x14ac:dyDescent="0.3">
      <c r="AF121" s="31"/>
      <c r="AG121" s="31"/>
      <c r="AH121" s="31"/>
    </row>
    <row r="122" spans="3:34" ht="15.75" thickBot="1" x14ac:dyDescent="0.3">
      <c r="C122" s="267" t="s">
        <v>111</v>
      </c>
      <c r="D122" s="268"/>
      <c r="E122" s="269"/>
      <c r="AF122" s="31"/>
      <c r="AG122" s="31"/>
      <c r="AH122" s="31"/>
    </row>
    <row r="123" spans="3:34" ht="15.75" thickBot="1" x14ac:dyDescent="0.3">
      <c r="C123" s="224" t="s">
        <v>112</v>
      </c>
      <c r="D123" s="225"/>
      <c r="E123" s="96">
        <f>0.0015*D98*D99</f>
        <v>0.60300000000000009</v>
      </c>
      <c r="AF123" s="31"/>
      <c r="AG123" s="31"/>
      <c r="AH123" s="31"/>
    </row>
    <row r="124" spans="3:34" ht="17.25" x14ac:dyDescent="0.25">
      <c r="C124" s="97" t="s">
        <v>83</v>
      </c>
      <c r="D124" s="98" t="s">
        <v>82</v>
      </c>
      <c r="E124" s="99" t="s">
        <v>89</v>
      </c>
      <c r="F124" s="270" t="str">
        <f>C125&amp;" @ "&amp;E125&amp;" c/c"</f>
        <v>#6 @ 8 c/c</v>
      </c>
      <c r="AF124" s="31"/>
      <c r="AG124" s="31"/>
      <c r="AH124" s="31"/>
    </row>
    <row r="125" spans="3:34" ht="15.75" thickBot="1" x14ac:dyDescent="0.3">
      <c r="C125" s="3" t="s">
        <v>76</v>
      </c>
      <c r="D125" s="88">
        <f>_xlfn.XLOOKUP(C125,Table142[Inch-Pound Bar No.],Table142[Area (inch²)],"Change Bar No")</f>
        <v>0.44178646691106466</v>
      </c>
      <c r="E125" s="89">
        <f>ROUNDDOWN(((D125/E123)*12),0.1)</f>
        <v>8</v>
      </c>
      <c r="F125" s="270"/>
      <c r="AF125" s="31"/>
      <c r="AG125" s="31"/>
      <c r="AH125" s="31"/>
    </row>
    <row r="126" spans="3:34" ht="15.75" thickBot="1" x14ac:dyDescent="0.3">
      <c r="AF126" s="31"/>
      <c r="AG126" s="31"/>
      <c r="AH126" s="31"/>
    </row>
    <row r="127" spans="3:34" ht="15" customHeight="1" x14ac:dyDescent="0.25">
      <c r="C127" s="206" t="s">
        <v>150</v>
      </c>
      <c r="D127" s="207"/>
      <c r="E127" s="207"/>
      <c r="F127" s="207"/>
      <c r="G127" s="207"/>
      <c r="H127" s="207"/>
      <c r="I127" s="207"/>
      <c r="J127" s="207"/>
      <c r="K127" s="207"/>
      <c r="L127" s="208"/>
      <c r="AF127" s="31"/>
      <c r="AG127" s="31"/>
      <c r="AH127" s="31"/>
    </row>
    <row r="128" spans="3:34" ht="15.75" customHeight="1" thickBot="1" x14ac:dyDescent="0.3">
      <c r="C128" s="209"/>
      <c r="D128" s="210"/>
      <c r="E128" s="210"/>
      <c r="F128" s="210"/>
      <c r="G128" s="210"/>
      <c r="H128" s="210"/>
      <c r="I128" s="210"/>
      <c r="J128" s="210"/>
      <c r="K128" s="210"/>
      <c r="L128" s="211"/>
      <c r="AF128" s="31"/>
      <c r="AG128" s="31"/>
      <c r="AH128" s="31"/>
    </row>
    <row r="129" spans="3:34" ht="15.75" customHeight="1" thickBot="1" x14ac:dyDescent="0.3">
      <c r="AF129" s="31"/>
      <c r="AG129" s="31"/>
      <c r="AH129" s="31"/>
    </row>
    <row r="130" spans="3:34" ht="15.75" thickBot="1" x14ac:dyDescent="0.3">
      <c r="E130" s="164" t="s">
        <v>151</v>
      </c>
      <c r="AF130" s="31"/>
      <c r="AG130" s="31"/>
      <c r="AH130" s="31"/>
    </row>
    <row r="131" spans="3:34" ht="15.75" thickBot="1" x14ac:dyDescent="0.3">
      <c r="C131" s="154" t="s">
        <v>147</v>
      </c>
      <c r="D131" s="155">
        <f>U6</f>
        <v>13.5</v>
      </c>
      <c r="E131" s="160">
        <f>D131/5</f>
        <v>2.7</v>
      </c>
      <c r="AF131" s="31"/>
      <c r="AG131" s="31"/>
      <c r="AH131" s="31"/>
    </row>
    <row r="132" spans="3:34" ht="15.75" thickBot="1" x14ac:dyDescent="0.3">
      <c r="AF132" s="31"/>
      <c r="AG132" s="31"/>
      <c r="AH132" s="31"/>
    </row>
    <row r="133" spans="3:34" ht="18.75" thickBot="1" x14ac:dyDescent="0.3">
      <c r="C133" s="154" t="s">
        <v>146</v>
      </c>
      <c r="D133" s="155" t="s">
        <v>58</v>
      </c>
      <c r="E133" s="155" t="s">
        <v>148</v>
      </c>
      <c r="F133" s="155" t="s">
        <v>61</v>
      </c>
      <c r="G133" s="155" t="s">
        <v>101</v>
      </c>
      <c r="H133" s="155" t="s">
        <v>149</v>
      </c>
      <c r="I133" s="155" t="s">
        <v>65</v>
      </c>
      <c r="J133" s="163" t="s">
        <v>83</v>
      </c>
      <c r="K133" s="163" t="s">
        <v>82</v>
      </c>
      <c r="L133" s="160" t="s">
        <v>89</v>
      </c>
    </row>
    <row r="134" spans="3:34" x14ac:dyDescent="0.25">
      <c r="C134" s="279">
        <f>E131</f>
        <v>2.7</v>
      </c>
      <c r="D134" s="282">
        <f>($E$93*C134/3)+($E$94*(C134*2/3))</f>
        <v>4373.9999999999991</v>
      </c>
      <c r="E134" s="166">
        <f>(($F$24)+IF($U$7=0,0,(($U$7*C134)/$U$6)))-($G$90/12)</f>
        <v>1.9916666666666669</v>
      </c>
      <c r="F134" s="177">
        <f>((0.85*$D$14)/$D$15)*(1-(SQRT(1-((2*D134*12)/(0.85*0.9*$D$14*$D$98*(E134*12)^2)))))</f>
        <v>1.4204160267349553E-4</v>
      </c>
      <c r="G134" s="162">
        <f>$E$103</f>
        <v>3.3333333333333335E-3</v>
      </c>
      <c r="H134" s="178">
        <f>IF(AND(F134&gt;G134,F134&gt;G135),F134,IF(AND(G134&gt;F134,G134&gt;G135),G134,G135))</f>
        <v>3.3333333333333335E-3</v>
      </c>
      <c r="I134" s="166">
        <f>H134*$D$98*E134*12</f>
        <v>0.95600000000000018</v>
      </c>
      <c r="J134" s="169" t="s">
        <v>76</v>
      </c>
      <c r="K134" s="171">
        <f>_xlfn.XLOOKUP(J134,Table14[Inch-Pound Bar No.],Table14[Area (inch²)],"Change Bar No")</f>
        <v>0.44178646691106466</v>
      </c>
      <c r="L134" s="205">
        <f>ROUNDDOWN(((K134/I134)*12),0.1)</f>
        <v>5</v>
      </c>
    </row>
    <row r="135" spans="3:34" x14ac:dyDescent="0.25">
      <c r="C135" s="280"/>
      <c r="D135" s="283"/>
      <c r="E135" s="167"/>
      <c r="F135" s="175"/>
      <c r="G135" s="159">
        <f>$E$104</f>
        <v>2.7386127875258306E-3</v>
      </c>
      <c r="H135" s="179"/>
      <c r="I135" s="167"/>
      <c r="J135" s="170"/>
      <c r="K135" s="172"/>
      <c r="L135" s="203"/>
    </row>
    <row r="136" spans="3:34" x14ac:dyDescent="0.25">
      <c r="C136" s="280">
        <f>C134*2</f>
        <v>5.4</v>
      </c>
      <c r="D136" s="282">
        <f t="shared" ref="D136" si="2">($E$93*C136/3)+($E$94*(C136*2/3))</f>
        <v>8747.9999999999982</v>
      </c>
      <c r="E136" s="166">
        <f t="shared" ref="E136" si="3">(($F$24)+IF($U$7=0,0,(($U$7*C136)/$U$6)))-($G$90/12)</f>
        <v>2.1916666666666664</v>
      </c>
      <c r="F136" s="177">
        <f t="shared" ref="F136" si="4">((0.85*$D$14)/$D$15)*(1-(SQRT(1-((2*D136*12)/(0.85*0.9*$D$14*$D$98*(E136*12)^2)))))</f>
        <v>2.3485788676184699E-4</v>
      </c>
      <c r="G136" s="162">
        <f>$E$103</f>
        <v>3.3333333333333335E-3</v>
      </c>
      <c r="H136" s="179">
        <f t="shared" ref="H136" si="5">IF(AND(F136&gt;G136,F136&gt;G137),F136,IF(AND(G136&gt;F136,G136&gt;G137),G136,G137))</f>
        <v>3.3333333333333335E-3</v>
      </c>
      <c r="I136" s="166">
        <f t="shared" ref="I136" si="6">H136*$D$98*E136*12</f>
        <v>1.0519999999999998</v>
      </c>
      <c r="J136" s="170" t="s">
        <v>76</v>
      </c>
      <c r="K136" s="172">
        <f>_xlfn.XLOOKUP(J136,Table14[Inch-Pound Bar No.],Table14[Area (inch²)],"Change Bar No")</f>
        <v>0.44178646691106466</v>
      </c>
      <c r="L136" s="203">
        <f t="shared" ref="L136" si="7">ROUNDDOWN(((K136/I136)*12),0.1)</f>
        <v>5</v>
      </c>
    </row>
    <row r="137" spans="3:34" x14ac:dyDescent="0.25">
      <c r="C137" s="280"/>
      <c r="D137" s="283"/>
      <c r="E137" s="167"/>
      <c r="F137" s="175"/>
      <c r="G137" s="159">
        <f>$E$104</f>
        <v>2.7386127875258306E-3</v>
      </c>
      <c r="H137" s="179"/>
      <c r="I137" s="167"/>
      <c r="J137" s="170"/>
      <c r="K137" s="172"/>
      <c r="L137" s="203"/>
    </row>
    <row r="138" spans="3:34" x14ac:dyDescent="0.25">
      <c r="C138" s="280">
        <f>C134*3</f>
        <v>8.1000000000000014</v>
      </c>
      <c r="D138" s="282">
        <f t="shared" ref="D138" si="8">($E$93*C138/3)+($E$94*(C138*2/3))</f>
        <v>13122</v>
      </c>
      <c r="E138" s="166">
        <f t="shared" ref="E138" si="9">(($F$24)+IF($U$7=0,0,(($U$7*C138)/$U$6)))-($G$90/12)</f>
        <v>2.3916666666666666</v>
      </c>
      <c r="F138" s="177">
        <f t="shared" ref="F138" si="10">((0.85*$D$14)/$D$15)*(1-(SQRT(1-((2*D138*12)/(0.85*0.9*$D$14*$D$98*(E138*12)^2)))))</f>
        <v>2.9604499070216812E-4</v>
      </c>
      <c r="G138" s="162">
        <f>$E$103</f>
        <v>3.3333333333333335E-3</v>
      </c>
      <c r="H138" s="179">
        <f t="shared" ref="H138" si="11">IF(AND(F138&gt;G138,F138&gt;G139),F138,IF(AND(G138&gt;F138,G138&gt;G139),G138,G139))</f>
        <v>3.3333333333333335E-3</v>
      </c>
      <c r="I138" s="166">
        <f t="shared" ref="I138" si="12">H138*$D$98*E138*12</f>
        <v>1.1479999999999999</v>
      </c>
      <c r="J138" s="170" t="s">
        <v>76</v>
      </c>
      <c r="K138" s="172">
        <f>_xlfn.XLOOKUP(J138,Table14[Inch-Pound Bar No.],Table14[Area (inch²)],"Change Bar No")</f>
        <v>0.44178646691106466</v>
      </c>
      <c r="L138" s="203">
        <f t="shared" ref="L138" si="13">ROUNDDOWN(((K138/I138)*12),0.1)</f>
        <v>4</v>
      </c>
    </row>
    <row r="139" spans="3:34" x14ac:dyDescent="0.25">
      <c r="C139" s="280"/>
      <c r="D139" s="283"/>
      <c r="E139" s="167"/>
      <c r="F139" s="175"/>
      <c r="G139" s="159">
        <f>$E$104</f>
        <v>2.7386127875258306E-3</v>
      </c>
      <c r="H139" s="179"/>
      <c r="I139" s="167"/>
      <c r="J139" s="170"/>
      <c r="K139" s="172"/>
      <c r="L139" s="203"/>
    </row>
    <row r="140" spans="3:34" x14ac:dyDescent="0.25">
      <c r="C140" s="280">
        <f>C134*4</f>
        <v>10.8</v>
      </c>
      <c r="D140" s="282">
        <f t="shared" ref="D140" si="14">($E$93*C140/3)+($E$94*(C140*2/3))</f>
        <v>17495.999999999996</v>
      </c>
      <c r="E140" s="166">
        <f t="shared" ref="E140" si="15">(($F$24)+IF($U$7=0,0,(($U$7*C140)/$U$6)))-($G$90/12)</f>
        <v>2.5916666666666663</v>
      </c>
      <c r="F140" s="177">
        <f t="shared" ref="F140" si="16">((0.85*$D$14)/$D$15)*(1-(SQRT(1-((2*D140*12)/(0.85*0.9*$D$14*$D$98*(E140*12)^2)))))</f>
        <v>3.3631480784492051E-4</v>
      </c>
      <c r="G140" s="162">
        <f>$E$103</f>
        <v>3.3333333333333335E-3</v>
      </c>
      <c r="H140" s="179">
        <f t="shared" ref="H140" si="17">IF(AND(F140&gt;G140,F140&gt;G141),F140,IF(AND(G140&gt;F140,G140&gt;G141),G140,G141))</f>
        <v>3.3333333333333335E-3</v>
      </c>
      <c r="I140" s="166">
        <f t="shared" ref="I140" si="18">H140*$D$98*E140*12</f>
        <v>1.2439999999999998</v>
      </c>
      <c r="J140" s="170" t="s">
        <v>76</v>
      </c>
      <c r="K140" s="172">
        <f>_xlfn.XLOOKUP(J140,Table14[Inch-Pound Bar No.],Table14[Area (inch²)],"Change Bar No")</f>
        <v>0.44178646691106466</v>
      </c>
      <c r="L140" s="203">
        <f t="shared" ref="L140" si="19">ROUNDDOWN(((K140/I140)*12),0.1)</f>
        <v>4</v>
      </c>
    </row>
    <row r="141" spans="3:34" x14ac:dyDescent="0.25">
      <c r="C141" s="280"/>
      <c r="D141" s="283"/>
      <c r="E141" s="167"/>
      <c r="F141" s="175"/>
      <c r="G141" s="159">
        <f>$E$104</f>
        <v>2.7386127875258306E-3</v>
      </c>
      <c r="H141" s="179"/>
      <c r="I141" s="167"/>
      <c r="J141" s="170"/>
      <c r="K141" s="172"/>
      <c r="L141" s="203"/>
    </row>
    <row r="142" spans="3:34" x14ac:dyDescent="0.25">
      <c r="C142" s="280">
        <f>C134*5</f>
        <v>13.5</v>
      </c>
      <c r="D142" s="282">
        <f t="shared" ref="D142" si="20">($E$93*C142/3)+($E$94*(C142*2/3))</f>
        <v>21869.999999999996</v>
      </c>
      <c r="E142" s="166">
        <f t="shared" ref="E142" si="21">(($F$24)+IF($U$7=0,0,(($U$7*C142)/$U$6)))-($G$90/12)</f>
        <v>2.7916666666666665</v>
      </c>
      <c r="F142" s="177">
        <f>((0.85*$D$14)/$D$15)*(1-(SQRT(1-((2*D142*12)/(0.85*0.9*$D$14*$D$98*(E142*12)^2)))))</f>
        <v>3.6242749389201747E-4</v>
      </c>
      <c r="G142" s="162">
        <f>$E$103</f>
        <v>3.3333333333333335E-3</v>
      </c>
      <c r="H142" s="179">
        <f t="shared" ref="H142" si="22">IF(AND(F142&gt;G142,F142&gt;G143),F142,IF(AND(G142&gt;F142,G142&gt;G143),G142,G143))</f>
        <v>3.3333333333333335E-3</v>
      </c>
      <c r="I142" s="166">
        <f t="shared" ref="I142" si="23">H142*$D$98*E142*12</f>
        <v>1.3399999999999999</v>
      </c>
      <c r="J142" s="170" t="s">
        <v>77</v>
      </c>
      <c r="K142" s="172">
        <f>_xlfn.XLOOKUP(J142,Table14[Inch-Pound Bar No.],Table14[Area (inch²)],"Change Bar No")</f>
        <v>0.6013204688511713</v>
      </c>
      <c r="L142" s="203">
        <f t="shared" ref="L142" si="24">ROUNDDOWN(((K142/I142)*12),0.1)</f>
        <v>5</v>
      </c>
    </row>
    <row r="143" spans="3:34" ht="15.75" thickBot="1" x14ac:dyDescent="0.3">
      <c r="C143" s="281"/>
      <c r="D143" s="284"/>
      <c r="E143" s="168"/>
      <c r="F143" s="176"/>
      <c r="G143" s="161">
        <f>$E$104</f>
        <v>2.7386127875258306E-3</v>
      </c>
      <c r="H143" s="180"/>
      <c r="I143" s="168"/>
      <c r="J143" s="173"/>
      <c r="K143" s="174"/>
      <c r="L143" s="204"/>
    </row>
    <row r="144" spans="3:34" x14ac:dyDescent="0.25">
      <c r="AF144" s="31"/>
      <c r="AG144" s="31"/>
      <c r="AH144" s="31"/>
    </row>
    <row r="147" spans="3:34" ht="15.75" thickBot="1" x14ac:dyDescent="0.3">
      <c r="AE147" s="31"/>
      <c r="AF147" s="31"/>
      <c r="AG147" s="31"/>
      <c r="AH147" s="31"/>
    </row>
    <row r="148" spans="3:34" ht="21.75" thickBot="1" x14ac:dyDescent="0.4">
      <c r="C148" s="239" t="s">
        <v>93</v>
      </c>
      <c r="D148" s="240"/>
      <c r="E148" s="240"/>
      <c r="F148" s="240"/>
      <c r="G148" s="241"/>
      <c r="L148" s="288" t="str">
        <f>O5</f>
        <v>6.3ft</v>
      </c>
      <c r="M148" s="288"/>
      <c r="N148" s="288"/>
      <c r="O148" s="288"/>
      <c r="AE148" s="31"/>
      <c r="AF148" s="31"/>
      <c r="AG148" s="31"/>
      <c r="AH148" s="31"/>
    </row>
    <row r="149" spans="3:34" ht="15.75" thickBot="1" x14ac:dyDescent="0.3">
      <c r="L149" s="289" t="s">
        <v>131</v>
      </c>
      <c r="M149" s="290"/>
      <c r="N149" s="290"/>
      <c r="O149" s="291"/>
      <c r="P149" s="295" t="str">
        <f>R6</f>
        <v>2.5ft</v>
      </c>
      <c r="AE149" s="31"/>
      <c r="AF149" s="31"/>
      <c r="AG149" s="31"/>
      <c r="AH149" s="31"/>
    </row>
    <row r="150" spans="3:34" ht="15.75" thickBot="1" x14ac:dyDescent="0.3">
      <c r="C150" s="100" t="s">
        <v>94</v>
      </c>
      <c r="D150" s="153">
        <f>F35*F30*D17*1</f>
        <v>2374.9999999999995</v>
      </c>
      <c r="F150" s="67" t="s">
        <v>97</v>
      </c>
      <c r="G150" s="5">
        <v>3.5</v>
      </c>
      <c r="L150" s="292"/>
      <c r="M150" s="293"/>
      <c r="N150" s="293"/>
      <c r="O150" s="294"/>
      <c r="P150" s="295"/>
      <c r="AE150" s="31"/>
      <c r="AF150" s="31"/>
      <c r="AG150" s="31"/>
      <c r="AH150" s="31"/>
    </row>
    <row r="151" spans="3:34" ht="15.75" thickBot="1" x14ac:dyDescent="0.3">
      <c r="C151" s="101" t="s">
        <v>95</v>
      </c>
      <c r="D151" s="37">
        <f>(U6+D45)*F35*D16*1</f>
        <v>8549.9999999999982</v>
      </c>
      <c r="F151" s="67" t="s">
        <v>57</v>
      </c>
      <c r="G151" s="5">
        <v>1.2</v>
      </c>
      <c r="AE151" s="31"/>
      <c r="AF151" s="31"/>
      <c r="AG151" s="31"/>
      <c r="AH151" s="31"/>
    </row>
    <row r="152" spans="3:34" ht="15.75" thickBot="1" x14ac:dyDescent="0.3">
      <c r="AE152" s="31"/>
      <c r="AF152" s="31"/>
      <c r="AG152" s="31"/>
      <c r="AH152" s="31"/>
    </row>
    <row r="153" spans="3:34" x14ac:dyDescent="0.25">
      <c r="C153" s="103" t="s">
        <v>91</v>
      </c>
      <c r="D153" s="153">
        <f>D151+D150</f>
        <v>10924.999999999998</v>
      </c>
      <c r="F153" s="104" t="s">
        <v>63</v>
      </c>
      <c r="G153" s="105">
        <f>(F30-(G150/12))*12</f>
        <v>26.5</v>
      </c>
      <c r="AE153" s="31"/>
      <c r="AF153" s="31"/>
      <c r="AG153" s="31"/>
      <c r="AH153" s="31"/>
    </row>
    <row r="154" spans="3:34" ht="18" x14ac:dyDescent="0.25">
      <c r="C154" s="106" t="s">
        <v>96</v>
      </c>
      <c r="D154" s="36">
        <f>D153*G151</f>
        <v>13109.999999999998</v>
      </c>
      <c r="E154" s="230" t="str">
        <f>IF(D155&gt;D154,"OK!","REDESIGN")</f>
        <v>OK!</v>
      </c>
      <c r="AE154" s="31"/>
      <c r="AF154" s="31"/>
      <c r="AG154" s="31"/>
      <c r="AH154" s="31"/>
    </row>
    <row r="155" spans="3:34" ht="15.75" thickBot="1" x14ac:dyDescent="0.3">
      <c r="C155" s="108" t="s">
        <v>98</v>
      </c>
      <c r="D155" s="37">
        <f>0.75*2*SQRT(D14)*D98*G153</f>
        <v>26126.365992996423</v>
      </c>
      <c r="E155" s="230"/>
      <c r="AE155" s="31"/>
      <c r="AF155" s="31"/>
      <c r="AG155" s="31"/>
      <c r="AH155" s="31"/>
    </row>
    <row r="156" spans="3:34" ht="15.75" thickBot="1" x14ac:dyDescent="0.3"/>
    <row r="157" spans="3:34" ht="15.75" thickBot="1" x14ac:dyDescent="0.3">
      <c r="C157" s="109" t="s">
        <v>58</v>
      </c>
      <c r="D157" s="110">
        <f>D154*F35/2</f>
        <v>41514.999999999985</v>
      </c>
    </row>
    <row r="158" spans="3:34" ht="15.75" thickBot="1" x14ac:dyDescent="0.3">
      <c r="C158" s="109" t="s">
        <v>61</v>
      </c>
      <c r="D158" s="111">
        <f>((0.85*D14)/D15)*(1-(SQRT(1-(2*D157*12)/(0.85*0.9*D14*D98*G153^2))))</f>
        <v>1.1092369179399851E-3</v>
      </c>
    </row>
    <row r="159" spans="3:34" ht="15.75" thickBot="1" x14ac:dyDescent="0.3"/>
    <row r="160" spans="3:34" x14ac:dyDescent="0.25">
      <c r="C160" s="298" t="s">
        <v>101</v>
      </c>
      <c r="D160" s="112" t="s">
        <v>99</v>
      </c>
      <c r="E160" s="113">
        <f>200/D15</f>
        <v>3.3333333333333335E-3</v>
      </c>
    </row>
    <row r="161" spans="3:17" ht="15.75" thickBot="1" x14ac:dyDescent="0.3">
      <c r="C161" s="276"/>
      <c r="D161" s="114" t="s">
        <v>100</v>
      </c>
      <c r="E161" s="115">
        <f>((3*SQRT(D14)/D15))</f>
        <v>2.7386127875258306E-3</v>
      </c>
    </row>
    <row r="162" spans="3:17" ht="15.75" thickBot="1" x14ac:dyDescent="0.3"/>
    <row r="163" spans="3:17" ht="18" thickBot="1" x14ac:dyDescent="0.3">
      <c r="C163" s="26" t="s">
        <v>102</v>
      </c>
      <c r="D163" s="84">
        <f>IF(AND(D158&gt;E160, D158&gt;E161),
     D158*D98*G153,
     IF(AND(E160&gt;D158, E160&gt;E161),
         E160*D98*G153,
         E161*D98*G153
     )
)</f>
        <v>1.06</v>
      </c>
    </row>
    <row r="165" spans="3:17" ht="15.75" thickBot="1" x14ac:dyDescent="0.3"/>
    <row r="166" spans="3:17" ht="15.75" thickBot="1" x14ac:dyDescent="0.3">
      <c r="C166" s="256" t="s">
        <v>103</v>
      </c>
      <c r="D166" s="257"/>
      <c r="E166" s="258"/>
    </row>
    <row r="167" spans="3:17" ht="17.25" x14ac:dyDescent="0.25">
      <c r="C167" s="85" t="s">
        <v>83</v>
      </c>
      <c r="D167" s="86" t="s">
        <v>82</v>
      </c>
      <c r="E167" s="87" t="s">
        <v>89</v>
      </c>
      <c r="F167" s="259" t="str">
        <f>C168&amp;" @ "&amp;E168&amp;" c/c"</f>
        <v>#8 @ 8 c/c</v>
      </c>
    </row>
    <row r="168" spans="3:17" ht="15.75" thickBot="1" x14ac:dyDescent="0.3">
      <c r="C168" s="3" t="s">
        <v>78</v>
      </c>
      <c r="D168" s="92">
        <f>_xlfn.XLOOKUP(C168,Table142[Inch-Pound Bar No.],Table142[Area (inch²)],"Change Bar No")</f>
        <v>0.78539816339744828</v>
      </c>
      <c r="E168" s="89">
        <f>ROUNDDOWN(((D168/D163)*12),0.1)</f>
        <v>8</v>
      </c>
      <c r="F168" s="259"/>
    </row>
    <row r="171" spans="3:17" ht="15.75" thickBot="1" x14ac:dyDescent="0.3"/>
    <row r="172" spans="3:17" ht="21.75" thickBot="1" x14ac:dyDescent="0.4">
      <c r="C172" s="239" t="s">
        <v>109</v>
      </c>
      <c r="D172" s="240"/>
      <c r="E172" s="240"/>
      <c r="F172" s="240"/>
      <c r="G172" s="241"/>
    </row>
    <row r="173" spans="3:17" ht="15.75" thickBot="1" x14ac:dyDescent="0.3">
      <c r="M173" s="296" t="str">
        <f>K5</f>
        <v>4.7 ft</v>
      </c>
      <c r="N173" s="296"/>
      <c r="O173" s="296"/>
      <c r="P173" s="296"/>
    </row>
    <row r="174" spans="3:17" x14ac:dyDescent="0.25">
      <c r="C174" s="50" t="s">
        <v>104</v>
      </c>
      <c r="D174" s="49">
        <f>D69</f>
        <v>7.3196607822776025</v>
      </c>
      <c r="F174" s="67" t="s">
        <v>57</v>
      </c>
      <c r="G174" s="5">
        <v>1.6</v>
      </c>
      <c r="L174" s="297" t="str">
        <f>R6</f>
        <v>2.5ft</v>
      </c>
      <c r="M174" s="289" t="s">
        <v>128</v>
      </c>
      <c r="N174" s="290"/>
      <c r="O174" s="290"/>
      <c r="P174" s="291"/>
      <c r="Q174" s="116"/>
    </row>
    <row r="175" spans="3:17" ht="15.75" thickBot="1" x14ac:dyDescent="0.3">
      <c r="C175" s="50" t="s">
        <v>105</v>
      </c>
      <c r="D175" s="49">
        <f>F26/3</f>
        <v>4.666666666666667</v>
      </c>
      <c r="F175" s="67" t="s">
        <v>97</v>
      </c>
      <c r="G175" s="5">
        <f>G150</f>
        <v>3.5</v>
      </c>
      <c r="L175" s="297"/>
      <c r="M175" s="292"/>
      <c r="N175" s="293"/>
      <c r="O175" s="293"/>
      <c r="P175" s="294"/>
      <c r="Q175" s="116"/>
    </row>
    <row r="176" spans="3:17" x14ac:dyDescent="0.25">
      <c r="C176" s="50" t="s">
        <v>42</v>
      </c>
      <c r="D176" s="117" t="str">
        <f>IF(D69 &gt; D70,"a &gt; l/3",IF(D69 = D70,"a = l/3","a &lt; l/3"))</f>
        <v>a &gt; l/3</v>
      </c>
      <c r="F176" s="67" t="s">
        <v>113</v>
      </c>
      <c r="G176" s="64">
        <f>F30*12-G175</f>
        <v>26.5</v>
      </c>
    </row>
    <row r="177" spans="3:19" x14ac:dyDescent="0.25">
      <c r="C177" s="50" t="s">
        <v>106</v>
      </c>
      <c r="D177" s="49">
        <f>IF(D71=F68,G68,IF(D71=F69,G69,G70))</f>
        <v>1236.7134353741508</v>
      </c>
      <c r="F177" s="67" t="s">
        <v>136</v>
      </c>
      <c r="G177" s="48">
        <f>3*D174</f>
        <v>21.958982346832808</v>
      </c>
    </row>
    <row r="178" spans="3:19" ht="15.75" thickBot="1" x14ac:dyDescent="0.3">
      <c r="C178" s="50" t="s">
        <v>107</v>
      </c>
      <c r="D178" s="56">
        <f>IF(D71=F68,H68,IF(D71=F69,H69,H70))</f>
        <v>1629.3579931972779</v>
      </c>
    </row>
    <row r="179" spans="3:19" ht="15.75" thickBot="1" x14ac:dyDescent="0.3">
      <c r="C179" s="32" t="s">
        <v>108</v>
      </c>
      <c r="D179" s="54">
        <f>IF(D177&gt;D178, D177, D178)</f>
        <v>1629.3579931972779</v>
      </c>
      <c r="K179" s="285" t="s">
        <v>134</v>
      </c>
      <c r="L179" s="286"/>
      <c r="M179" s="286"/>
      <c r="N179" s="286"/>
      <c r="O179" s="286"/>
      <c r="P179" s="286"/>
      <c r="Q179" s="287"/>
    </row>
    <row r="180" spans="3:19" ht="15.75" thickBot="1" x14ac:dyDescent="0.3">
      <c r="K180" s="118"/>
      <c r="M180" s="196" t="str">
        <f>K10</f>
        <v>14ft</v>
      </c>
      <c r="N180" s="197"/>
      <c r="O180" s="197"/>
      <c r="P180" s="198"/>
      <c r="Q180" s="120"/>
    </row>
    <row r="181" spans="3:19" ht="15.75" thickBot="1" x14ac:dyDescent="0.3">
      <c r="C181" s="109" t="s">
        <v>58</v>
      </c>
      <c r="D181" s="121">
        <f>((0.5*O186*F36)*(F36/3))+((0.5*L187*F36)*(F36*(2/3)))</f>
        <v>22306.378600823064</v>
      </c>
      <c r="F181" s="109" t="s">
        <v>58</v>
      </c>
      <c r="G181" s="122">
        <f>((0.5*O198*F36)*(F36/3))+((0.5*L199*F36)*(F36*(2/3)))</f>
        <v>20019.975068109532</v>
      </c>
      <c r="K181" s="118"/>
      <c r="M181" s="199" t="str">
        <f>"TW = " &amp; TEXT(F36,"0.0")</f>
        <v>TW = 4.7</v>
      </c>
      <c r="N181" s="199"/>
      <c r="Q181" s="120"/>
    </row>
    <row r="182" spans="3:19" ht="16.5" thickTop="1" thickBot="1" x14ac:dyDescent="0.3">
      <c r="C182" s="109" t="s">
        <v>61</v>
      </c>
      <c r="D182" s="111">
        <f>((0.85*D14)/D15)*(1-(SQRT(1-(2*D181*12)/(0.85*0.9*D14*12*(G176)^2))))</f>
        <v>5.9235313879006906E-4</v>
      </c>
      <c r="F182" s="109" t="s">
        <v>61</v>
      </c>
      <c r="G182" s="111">
        <f>((0.85*D14)/D15)*(1-(SQRT(1-(2*G181*12)/(0.85*0.9*D14*12*(G176)^2))))</f>
        <v>5.3125238797317818E-4</v>
      </c>
      <c r="K182" s="118"/>
      <c r="M182" s="200"/>
      <c r="N182" s="201"/>
      <c r="O182" s="201"/>
      <c r="P182" s="202"/>
      <c r="Q182" s="120"/>
    </row>
    <row r="183" spans="3:19" x14ac:dyDescent="0.25">
      <c r="K183" s="118"/>
      <c r="M183" s="12"/>
      <c r="P183" s="123"/>
      <c r="Q183" s="120"/>
    </row>
    <row r="184" spans="3:19" x14ac:dyDescent="0.25">
      <c r="C184" s="255" t="s">
        <v>101</v>
      </c>
      <c r="D184" s="67" t="s">
        <v>99</v>
      </c>
      <c r="E184" s="82">
        <f>200/D15</f>
        <v>3.3333333333333335E-3</v>
      </c>
      <c r="K184" s="118"/>
      <c r="M184" s="12"/>
      <c r="O184" s="123"/>
      <c r="P184" s="124" t="s">
        <v>39</v>
      </c>
      <c r="Q184" s="125">
        <f>D178*G174</f>
        <v>2606.9727891156449</v>
      </c>
    </row>
    <row r="185" spans="3:19" x14ac:dyDescent="0.25">
      <c r="C185" s="255"/>
      <c r="D185" s="67" t="s">
        <v>100</v>
      </c>
      <c r="E185" s="82">
        <f>((3*SQRT(D14)/D15))</f>
        <v>2.7386127875258306E-3</v>
      </c>
      <c r="K185" s="118"/>
      <c r="M185" s="12"/>
      <c r="N185" s="123"/>
      <c r="Q185" s="120"/>
      <c r="S185" s="126"/>
    </row>
    <row r="186" spans="3:19" ht="15.75" thickBot="1" x14ac:dyDescent="0.3">
      <c r="K186" s="118"/>
      <c r="M186" s="127"/>
      <c r="O186" s="128">
        <f>(((L187-Q184)/F26)*(F26-F36))+Q184</f>
        <v>2188.1519274376424</v>
      </c>
      <c r="Q186" s="120"/>
    </row>
    <row r="187" spans="3:19" ht="18" thickBot="1" x14ac:dyDescent="0.3">
      <c r="C187" s="26" t="s">
        <v>102</v>
      </c>
      <c r="D187" s="84">
        <f>IF(OR(D176=F68, D176=F69),
    IF(AND(D182&gt;E184, D182&gt;E185),
        D182*D98*G176,
        IF(AND(E184&gt;D182, E184&gt;E185),
            E184*D98*G176,
            E185*D98*G176
        )
    ),
    IF(AND(G182&gt;E184, G182&gt;E185),
        G182*D98*G176,
        IF(AND(E184&gt;G182, E184&gt;E185),
            E184*D98*G176,
            E185*D98*G176
        )
    )
)</f>
        <v>1.06</v>
      </c>
      <c r="K187" s="129" t="s">
        <v>36</v>
      </c>
      <c r="L187" s="130">
        <f>D177*G174</f>
        <v>1978.7414965986413</v>
      </c>
      <c r="M187" s="131"/>
      <c r="N187" s="132"/>
      <c r="O187" s="132"/>
      <c r="P187" s="132"/>
      <c r="Q187" s="133"/>
    </row>
    <row r="188" spans="3:19" ht="15.75" thickBot="1" x14ac:dyDescent="0.3"/>
    <row r="189" spans="3:19" ht="15.75" thickBot="1" x14ac:dyDescent="0.3">
      <c r="C189" s="256" t="s">
        <v>103</v>
      </c>
      <c r="D189" s="257"/>
      <c r="E189" s="258"/>
    </row>
    <row r="190" spans="3:19" ht="18" thickBot="1" x14ac:dyDescent="0.3">
      <c r="C190" s="85" t="s">
        <v>83</v>
      </c>
      <c r="D190" s="86" t="s">
        <v>82</v>
      </c>
      <c r="E190" s="87" t="s">
        <v>89</v>
      </c>
      <c r="F190" s="259" t="str">
        <f>C191&amp;" @ "&amp;E191&amp;" c/c"</f>
        <v>#8 @ 8 c/c</v>
      </c>
    </row>
    <row r="191" spans="3:19" ht="16.5" thickTop="1" thickBot="1" x14ac:dyDescent="0.3">
      <c r="C191" s="3" t="s">
        <v>78</v>
      </c>
      <c r="D191" s="92">
        <f>_xlfn.XLOOKUP(C191,Table142[Inch-Pound Bar No.],Table142[Area (inch²)],"Change Bar No")</f>
        <v>0.78539816339744828</v>
      </c>
      <c r="E191" s="89">
        <f>ROUNDDOWN(((D191/D187)*12),0.1)</f>
        <v>8</v>
      </c>
      <c r="F191" s="259"/>
      <c r="J191" s="191" t="s">
        <v>135</v>
      </c>
      <c r="K191" s="192"/>
      <c r="L191" s="192"/>
      <c r="M191" s="192"/>
      <c r="N191" s="192"/>
      <c r="O191" s="192"/>
      <c r="P191" s="192"/>
      <c r="Q191" s="193"/>
    </row>
    <row r="192" spans="3:19" x14ac:dyDescent="0.25">
      <c r="J192" s="12"/>
      <c r="M192" s="194" t="s">
        <v>137</v>
      </c>
      <c r="N192" s="194"/>
      <c r="O192" s="194"/>
      <c r="P192" s="194"/>
      <c r="Q192" s="14"/>
    </row>
    <row r="193" spans="3:17" ht="15.75" thickBot="1" x14ac:dyDescent="0.3">
      <c r="J193" s="12"/>
      <c r="M193" s="188" t="str">
        <f>TEXT(G177,"0.0") &amp; "ft"</f>
        <v>22.0ft</v>
      </c>
      <c r="N193" s="189"/>
      <c r="O193" s="189"/>
      <c r="P193" s="190"/>
      <c r="Q193" s="14"/>
    </row>
    <row r="194" spans="3:17" ht="21.75" thickBot="1" x14ac:dyDescent="0.4">
      <c r="C194" s="239" t="s">
        <v>143</v>
      </c>
      <c r="D194" s="240"/>
      <c r="E194" s="240"/>
      <c r="F194" s="240"/>
      <c r="G194" s="241"/>
      <c r="J194" s="12"/>
      <c r="M194" s="187" t="str">
        <f>M181</f>
        <v>TW = 4.7</v>
      </c>
      <c r="N194" s="187"/>
      <c r="O194" s="134"/>
      <c r="P194" s="134"/>
      <c r="Q194" s="14"/>
    </row>
    <row r="195" spans="3:17" ht="16.5" thickTop="1" thickBot="1" x14ac:dyDescent="0.3">
      <c r="J195" s="12"/>
      <c r="M195" s="15"/>
      <c r="N195" s="16"/>
      <c r="O195" s="16"/>
      <c r="P195" s="135"/>
      <c r="Q195" s="14"/>
    </row>
    <row r="196" spans="3:17" x14ac:dyDescent="0.25">
      <c r="C196" s="242" t="s">
        <v>115</v>
      </c>
      <c r="D196" s="243"/>
      <c r="J196" s="12"/>
      <c r="M196" s="12"/>
      <c r="O196" s="123"/>
      <c r="Q196" s="136"/>
    </row>
    <row r="197" spans="3:17" x14ac:dyDescent="0.25">
      <c r="C197" s="137" t="s">
        <v>116</v>
      </c>
      <c r="D197" s="138" t="s">
        <v>117</v>
      </c>
      <c r="J197" s="12"/>
      <c r="M197" s="12"/>
      <c r="N197" s="123"/>
      <c r="Q197" s="14"/>
    </row>
    <row r="198" spans="3:17" x14ac:dyDescent="0.25">
      <c r="C198" s="23" t="s">
        <v>118</v>
      </c>
      <c r="D198" s="107">
        <v>2E-3</v>
      </c>
      <c r="E198" s="325">
        <f>IF(D15=60000,D199,(IF(D15=40000,D198,D199)))</f>
        <v>1.8E-3</v>
      </c>
      <c r="J198" s="12"/>
      <c r="M198" s="127"/>
      <c r="O198" s="128">
        <f>(((L199)/G177)*(G177-F36))</f>
        <v>1558.2244235267715</v>
      </c>
      <c r="Q198" s="14"/>
    </row>
    <row r="199" spans="3:17" ht="15.75" thickBot="1" x14ac:dyDescent="0.3">
      <c r="C199" s="25" t="s">
        <v>119</v>
      </c>
      <c r="D199" s="102">
        <v>1.8E-3</v>
      </c>
      <c r="E199" s="325"/>
      <c r="J199" s="18"/>
      <c r="K199" s="139" t="s">
        <v>36</v>
      </c>
      <c r="L199" s="140">
        <f>L187</f>
        <v>1978.7414965986413</v>
      </c>
      <c r="M199" s="141"/>
      <c r="N199" s="19"/>
      <c r="O199" s="19"/>
      <c r="P199" s="19"/>
      <c r="Q199" s="20"/>
    </row>
    <row r="200" spans="3:17" ht="15.75" thickBot="1" x14ac:dyDescent="0.3"/>
    <row r="201" spans="3:17" ht="18" thickBot="1" x14ac:dyDescent="0.3">
      <c r="C201" s="26" t="s">
        <v>102</v>
      </c>
      <c r="D201" s="142">
        <f>E198*D98*G176</f>
        <v>0.57240000000000002</v>
      </c>
    </row>
    <row r="202" spans="3:17" ht="15.75" thickBot="1" x14ac:dyDescent="0.3"/>
    <row r="203" spans="3:17" ht="15.75" thickBot="1" x14ac:dyDescent="0.3">
      <c r="C203" s="256" t="s">
        <v>103</v>
      </c>
      <c r="D203" s="257"/>
      <c r="E203" s="258"/>
    </row>
    <row r="204" spans="3:17" ht="17.25" x14ac:dyDescent="0.25">
      <c r="C204" s="85" t="s">
        <v>83</v>
      </c>
      <c r="D204" s="86" t="s">
        <v>82</v>
      </c>
      <c r="E204" s="87" t="s">
        <v>89</v>
      </c>
      <c r="F204" s="259" t="str">
        <f>C205&amp;" @ "&amp;E205&amp;" c/c"</f>
        <v>#8 @ 16 c/c</v>
      </c>
    </row>
    <row r="205" spans="3:17" ht="15.75" thickBot="1" x14ac:dyDescent="0.3">
      <c r="C205" s="3" t="s">
        <v>78</v>
      </c>
      <c r="D205" s="92">
        <f>_xlfn.XLOOKUP(C205,Table142[Inch-Pound Bar No.],Table142[Area (inch²)],"Change Bar No")</f>
        <v>0.78539816339744828</v>
      </c>
      <c r="E205" s="89">
        <f>ROUNDDOWN(((D205/D201)*12),0.1)</f>
        <v>16</v>
      </c>
      <c r="F205" s="259"/>
    </row>
    <row r="217" spans="3:5" x14ac:dyDescent="0.25">
      <c r="C217" s="300" t="s">
        <v>138</v>
      </c>
      <c r="D217" s="300"/>
      <c r="E217" s="300"/>
    </row>
    <row r="218" spans="3:5" x14ac:dyDescent="0.25">
      <c r="C218" s="300" t="s">
        <v>139</v>
      </c>
      <c r="D218" s="300"/>
      <c r="E218" s="300"/>
    </row>
    <row r="219" spans="3:5" x14ac:dyDescent="0.25">
      <c r="C219" s="143" t="s">
        <v>43</v>
      </c>
      <c r="D219" s="143" t="s">
        <v>34</v>
      </c>
      <c r="E219" s="143" t="s">
        <v>35</v>
      </c>
    </row>
    <row r="220" spans="3:5" x14ac:dyDescent="0.25">
      <c r="C220" s="64" t="str">
        <f>I44</f>
        <v>OK!</v>
      </c>
      <c r="D220" s="64" t="str">
        <f>E61</f>
        <v>OK!</v>
      </c>
      <c r="E220" s="64" t="str">
        <f>E76</f>
        <v>OK!</v>
      </c>
    </row>
    <row r="221" spans="3:5" x14ac:dyDescent="0.25">
      <c r="C221" s="301" t="s">
        <v>90</v>
      </c>
      <c r="D221" s="302"/>
      <c r="E221" s="303"/>
    </row>
    <row r="222" spans="3:5" x14ac:dyDescent="0.25">
      <c r="C222" s="143" t="s">
        <v>129</v>
      </c>
      <c r="D222" s="308" t="s">
        <v>140</v>
      </c>
      <c r="E222" s="309"/>
    </row>
    <row r="223" spans="3:5" x14ac:dyDescent="0.25">
      <c r="C223" s="64" t="str">
        <f>I94</f>
        <v>OK!</v>
      </c>
      <c r="D223" s="310" t="str">
        <f>E154</f>
        <v>OK!</v>
      </c>
      <c r="E223" s="311"/>
    </row>
    <row r="225" spans="2:26" x14ac:dyDescent="0.25">
      <c r="Q225" s="307" t="str">
        <f>E233</f>
        <v>#6 @ 8 c/c</v>
      </c>
      <c r="R225" s="307"/>
    </row>
    <row r="227" spans="2:26" x14ac:dyDescent="0.25">
      <c r="V227" s="165" t="str">
        <f>D233</f>
        <v>#8 @ 7 c/c</v>
      </c>
      <c r="W227" s="165"/>
      <c r="X227" s="165"/>
      <c r="Y227" s="144"/>
    </row>
    <row r="228" spans="2:26" ht="15.75" thickBot="1" x14ac:dyDescent="0.3"/>
    <row r="229" spans="2:26" ht="19.5" thickBot="1" x14ac:dyDescent="0.35">
      <c r="B229" s="326" t="s">
        <v>120</v>
      </c>
      <c r="C229" s="327"/>
      <c r="D229" s="327"/>
      <c r="E229" s="327"/>
      <c r="F229" s="327"/>
      <c r="G229" s="328"/>
    </row>
    <row r="230" spans="2:26" x14ac:dyDescent="0.25">
      <c r="B230" s="329" t="s">
        <v>129</v>
      </c>
      <c r="C230" s="330"/>
      <c r="D230" s="330"/>
      <c r="E230" s="330"/>
      <c r="F230" s="330"/>
      <c r="G230" s="331"/>
    </row>
    <row r="231" spans="2:26" x14ac:dyDescent="0.25">
      <c r="B231" s="320" t="s">
        <v>132</v>
      </c>
      <c r="C231" s="313"/>
      <c r="D231" s="321" t="s">
        <v>84</v>
      </c>
      <c r="E231" s="321"/>
      <c r="F231" s="321" t="s">
        <v>130</v>
      </c>
      <c r="G231" s="322"/>
      <c r="P231" s="194" t="str">
        <f>G233</f>
        <v>#4 @ 7 c/c</v>
      </c>
      <c r="Q231" s="194"/>
    </row>
    <row r="232" spans="2:26" x14ac:dyDescent="0.25">
      <c r="B232" s="137" t="s">
        <v>124</v>
      </c>
      <c r="C232" s="143" t="s">
        <v>125</v>
      </c>
      <c r="D232" s="145" t="s">
        <v>121</v>
      </c>
      <c r="E232" s="145" t="s">
        <v>122</v>
      </c>
      <c r="F232" s="145" t="s">
        <v>123</v>
      </c>
      <c r="G232" s="138" t="s">
        <v>122</v>
      </c>
    </row>
    <row r="233" spans="2:26" x14ac:dyDescent="0.25">
      <c r="B233" s="41">
        <f>F24</f>
        <v>2</v>
      </c>
      <c r="C233" s="64">
        <f>F28</f>
        <v>3</v>
      </c>
      <c r="D233" s="64" t="str">
        <f>F109</f>
        <v>#8 @ 7 c/c</v>
      </c>
      <c r="E233" s="64" t="str">
        <f>F124</f>
        <v>#6 @ 8 c/c</v>
      </c>
      <c r="F233" s="64" t="str">
        <f>H114</f>
        <v>#5 @ 6 c/c</v>
      </c>
      <c r="G233" s="117" t="str">
        <f>H116</f>
        <v>#4 @ 7 c/c</v>
      </c>
    </row>
    <row r="234" spans="2:26" x14ac:dyDescent="0.25">
      <c r="B234" s="275" t="s">
        <v>131</v>
      </c>
      <c r="C234" s="255"/>
      <c r="D234" s="255"/>
      <c r="E234" s="255"/>
      <c r="F234" s="255"/>
      <c r="G234" s="317"/>
    </row>
    <row r="235" spans="2:26" x14ac:dyDescent="0.25">
      <c r="B235" s="50" t="s">
        <v>132</v>
      </c>
      <c r="C235" s="143" t="s">
        <v>133</v>
      </c>
      <c r="D235" s="313" t="s">
        <v>126</v>
      </c>
      <c r="E235" s="313"/>
      <c r="F235" s="313" t="s">
        <v>127</v>
      </c>
      <c r="G235" s="314"/>
      <c r="W235" s="323" t="str">
        <f>F233</f>
        <v>#5 @ 6 c/c</v>
      </c>
      <c r="X235" s="323"/>
    </row>
    <row r="236" spans="2:26" x14ac:dyDescent="0.25">
      <c r="B236" s="146">
        <f>F35</f>
        <v>6.3333333333333321</v>
      </c>
      <c r="C236" s="64">
        <f>F30</f>
        <v>2.5</v>
      </c>
      <c r="D236" s="318" t="str">
        <f>F167</f>
        <v>#8 @ 8 c/c</v>
      </c>
      <c r="E236" s="318"/>
      <c r="F236" s="318" t="str">
        <f>F204</f>
        <v>#8 @ 16 c/c</v>
      </c>
      <c r="G236" s="319"/>
    </row>
    <row r="237" spans="2:26" x14ac:dyDescent="0.25">
      <c r="B237" s="275" t="s">
        <v>128</v>
      </c>
      <c r="C237" s="255"/>
      <c r="D237" s="255"/>
      <c r="E237" s="255"/>
      <c r="F237" s="255"/>
      <c r="G237" s="317"/>
    </row>
    <row r="238" spans="2:26" x14ac:dyDescent="0.25">
      <c r="B238" s="50" t="s">
        <v>132</v>
      </c>
      <c r="C238" s="143" t="s">
        <v>133</v>
      </c>
      <c r="D238" s="313" t="s">
        <v>126</v>
      </c>
      <c r="E238" s="313"/>
      <c r="F238" s="313" t="s">
        <v>127</v>
      </c>
      <c r="G238" s="314"/>
    </row>
    <row r="239" spans="2:26" ht="15.75" thickBot="1" x14ac:dyDescent="0.3">
      <c r="B239" s="147">
        <f>F36</f>
        <v>4.666666666666667</v>
      </c>
      <c r="C239" s="58">
        <f>F30</f>
        <v>2.5</v>
      </c>
      <c r="D239" s="315" t="str">
        <f>F190</f>
        <v>#8 @ 8 c/c</v>
      </c>
      <c r="E239" s="315"/>
      <c r="F239" s="315" t="str">
        <f>F236</f>
        <v>#8 @ 16 c/c</v>
      </c>
      <c r="G239" s="316"/>
      <c r="L239" s="194" t="str">
        <f>F239</f>
        <v>#8 @ 16 c/c</v>
      </c>
      <c r="M239" s="194"/>
      <c r="N239" s="194"/>
      <c r="Y239" s="156" t="str">
        <f>D236</f>
        <v>#8 @ 8 c/c</v>
      </c>
      <c r="Z239" s="144"/>
    </row>
    <row r="246" spans="13:26" x14ac:dyDescent="0.25">
      <c r="M246" s="165" t="str">
        <f>D239</f>
        <v>#8 @ 8 c/c</v>
      </c>
      <c r="N246" s="165"/>
    </row>
    <row r="247" spans="13:26" x14ac:dyDescent="0.25">
      <c r="Y247" s="307" t="str">
        <f>F239</f>
        <v>#8 @ 16 c/c</v>
      </c>
      <c r="Z247" s="307"/>
    </row>
    <row r="249" spans="13:26" x14ac:dyDescent="0.25">
      <c r="R249" t="str">
        <f>F233</f>
        <v>#5 @ 6 c/c</v>
      </c>
    </row>
  </sheetData>
  <sheetProtection sheet="1" objects="1" scenarios="1"/>
  <mergeCells count="155">
    <mergeCell ref="D235:E235"/>
    <mergeCell ref="F235:G235"/>
    <mergeCell ref="C221:E221"/>
    <mergeCell ref="D222:E222"/>
    <mergeCell ref="D223:E223"/>
    <mergeCell ref="Q225:R225"/>
    <mergeCell ref="B229:G229"/>
    <mergeCell ref="B230:G230"/>
    <mergeCell ref="D239:E239"/>
    <mergeCell ref="F239:G239"/>
    <mergeCell ref="D236:E236"/>
    <mergeCell ref="F236:G236"/>
    <mergeCell ref="B237:G237"/>
    <mergeCell ref="D238:E238"/>
    <mergeCell ref="F238:G238"/>
    <mergeCell ref="B231:C231"/>
    <mergeCell ref="D231:E231"/>
    <mergeCell ref="F231:G231"/>
    <mergeCell ref="C218:E218"/>
    <mergeCell ref="F190:F191"/>
    <mergeCell ref="J191:Q191"/>
    <mergeCell ref="M192:P192"/>
    <mergeCell ref="M193:P193"/>
    <mergeCell ref="C194:G194"/>
    <mergeCell ref="M194:N194"/>
    <mergeCell ref="P231:Q231"/>
    <mergeCell ref="B234:G234"/>
    <mergeCell ref="F124:F125"/>
    <mergeCell ref="C148:G148"/>
    <mergeCell ref="L148:O148"/>
    <mergeCell ref="L149:O150"/>
    <mergeCell ref="P149:P150"/>
    <mergeCell ref="E154:E155"/>
    <mergeCell ref="H114:H115"/>
    <mergeCell ref="C116:C117"/>
    <mergeCell ref="D116:D117"/>
    <mergeCell ref="H116:H117"/>
    <mergeCell ref="C122:E122"/>
    <mergeCell ref="C123:D123"/>
    <mergeCell ref="L134:L135"/>
    <mergeCell ref="C136:C137"/>
    <mergeCell ref="D136:D137"/>
    <mergeCell ref="E136:E137"/>
    <mergeCell ref="F136:F137"/>
    <mergeCell ref="H136:H137"/>
    <mergeCell ref="I136:I137"/>
    <mergeCell ref="J136:J137"/>
    <mergeCell ref="K136:K137"/>
    <mergeCell ref="L136:L137"/>
    <mergeCell ref="C138:C139"/>
    <mergeCell ref="D138:D139"/>
    <mergeCell ref="C108:E108"/>
    <mergeCell ref="F109:F110"/>
    <mergeCell ref="C112:G112"/>
    <mergeCell ref="C113:D113"/>
    <mergeCell ref="E113:G113"/>
    <mergeCell ref="C114:C115"/>
    <mergeCell ref="D114:D115"/>
    <mergeCell ref="P85:P90"/>
    <mergeCell ref="C88:G88"/>
    <mergeCell ref="N91:O91"/>
    <mergeCell ref="G93:H93"/>
    <mergeCell ref="I94:I95"/>
    <mergeCell ref="C103:C104"/>
    <mergeCell ref="C68:D68"/>
    <mergeCell ref="C76:D77"/>
    <mergeCell ref="E76:E77"/>
    <mergeCell ref="C84:G85"/>
    <mergeCell ref="N85:N90"/>
    <mergeCell ref="O85:O90"/>
    <mergeCell ref="C42:D42"/>
    <mergeCell ref="G44:G45"/>
    <mergeCell ref="H44:H45"/>
    <mergeCell ref="I44:K45"/>
    <mergeCell ref="C60:D60"/>
    <mergeCell ref="C61:C62"/>
    <mergeCell ref="D61:D62"/>
    <mergeCell ref="E61:E62"/>
    <mergeCell ref="F30:F31"/>
    <mergeCell ref="C33:E33"/>
    <mergeCell ref="C34:E34"/>
    <mergeCell ref="C35:E35"/>
    <mergeCell ref="C36:E36"/>
    <mergeCell ref="C32:E32"/>
    <mergeCell ref="K10:Q10"/>
    <mergeCell ref="C24:C25"/>
    <mergeCell ref="F24:F25"/>
    <mergeCell ref="C26:C27"/>
    <mergeCell ref="F26:F27"/>
    <mergeCell ref="C28:C29"/>
    <mergeCell ref="F28:F29"/>
    <mergeCell ref="Y247:Z247"/>
    <mergeCell ref="J3:J7"/>
    <mergeCell ref="M3:M5"/>
    <mergeCell ref="R3:R5"/>
    <mergeCell ref="K5:L5"/>
    <mergeCell ref="O5:Q5"/>
    <mergeCell ref="R6:R7"/>
    <mergeCell ref="L239:N239"/>
    <mergeCell ref="M246:N246"/>
    <mergeCell ref="K179:Q179"/>
    <mergeCell ref="M180:P180"/>
    <mergeCell ref="M181:N181"/>
    <mergeCell ref="M182:P182"/>
    <mergeCell ref="W235:X235"/>
    <mergeCell ref="C127:L128"/>
    <mergeCell ref="C134:C135"/>
    <mergeCell ref="D134:D135"/>
    <mergeCell ref="E134:E135"/>
    <mergeCell ref="F134:F135"/>
    <mergeCell ref="H134:H135"/>
    <mergeCell ref="I134:I135"/>
    <mergeCell ref="J134:J135"/>
    <mergeCell ref="K134:K135"/>
    <mergeCell ref="C30:C31"/>
    <mergeCell ref="E138:E139"/>
    <mergeCell ref="F138:F139"/>
    <mergeCell ref="H138:H139"/>
    <mergeCell ref="I138:I139"/>
    <mergeCell ref="J138:J139"/>
    <mergeCell ref="K138:K139"/>
    <mergeCell ref="L138:L139"/>
    <mergeCell ref="C140:C141"/>
    <mergeCell ref="D140:D141"/>
    <mergeCell ref="E140:E141"/>
    <mergeCell ref="F140:F141"/>
    <mergeCell ref="H140:H141"/>
    <mergeCell ref="I140:I141"/>
    <mergeCell ref="J140:J141"/>
    <mergeCell ref="K140:K141"/>
    <mergeCell ref="L140:L141"/>
    <mergeCell ref="V227:X227"/>
    <mergeCell ref="C142:C143"/>
    <mergeCell ref="D142:D143"/>
    <mergeCell ref="E142:E143"/>
    <mergeCell ref="F142:F143"/>
    <mergeCell ref="H142:H143"/>
    <mergeCell ref="I142:I143"/>
    <mergeCell ref="J142:J143"/>
    <mergeCell ref="K142:K143"/>
    <mergeCell ref="L142:L143"/>
    <mergeCell ref="C184:C185"/>
    <mergeCell ref="C189:E189"/>
    <mergeCell ref="C160:C161"/>
    <mergeCell ref="C166:E166"/>
    <mergeCell ref="F167:F168"/>
    <mergeCell ref="C172:G172"/>
    <mergeCell ref="M173:P173"/>
    <mergeCell ref="L174:L175"/>
    <mergeCell ref="M174:P175"/>
    <mergeCell ref="C196:D196"/>
    <mergeCell ref="E198:E199"/>
    <mergeCell ref="C203:E203"/>
    <mergeCell ref="F204:F205"/>
    <mergeCell ref="C217:E217"/>
  </mergeCells>
  <conditionalFormatting sqref="C223:D223">
    <cfRule type="cellIs" dxfId="21" priority="3" operator="equal">
      <formula>"REDESIGN"</formula>
    </cfRule>
    <cfRule type="cellIs" dxfId="20" priority="4" operator="equal">
      <formula>"OK!"</formula>
    </cfRule>
  </conditionalFormatting>
  <conditionalFormatting sqref="C220:E220">
    <cfRule type="cellIs" dxfId="19" priority="5" operator="equal">
      <formula>"OK!"</formula>
    </cfRule>
    <cfRule type="cellIs" dxfId="18" priority="6" operator="equal">
      <formula>"REDESIGN"</formula>
    </cfRule>
  </conditionalFormatting>
  <conditionalFormatting sqref="E61">
    <cfRule type="cellIs" dxfId="17" priority="18" operator="equal">
      <formula>"OK!"</formula>
    </cfRule>
    <cfRule type="cellIs" dxfId="16" priority="19" operator="equal">
      <formula>"REDESIGN"</formula>
    </cfRule>
  </conditionalFormatting>
  <conditionalFormatting sqref="E69:E70">
    <cfRule type="cellIs" dxfId="15" priority="16" operator="equal">
      <formula>"OK!"</formula>
    </cfRule>
    <cfRule type="cellIs" dxfId="14" priority="17" operator="equal">
      <formula>"REDESIGN"</formula>
    </cfRule>
  </conditionalFormatting>
  <conditionalFormatting sqref="E76">
    <cfRule type="cellIs" dxfId="13" priority="14" operator="equal">
      <formula>"REDESIGN"</formula>
    </cfRule>
    <cfRule type="cellIs" dxfId="12" priority="15" operator="equal">
      <formula>"OK!"</formula>
    </cfRule>
  </conditionalFormatting>
  <conditionalFormatting sqref="E103">
    <cfRule type="expression" dxfId="11" priority="7">
      <formula>"IF(AND($E$106 &gt; $D$103, $E$106 &gt; $E$107))"</formula>
    </cfRule>
  </conditionalFormatting>
  <conditionalFormatting sqref="E154:E155">
    <cfRule type="cellIs" dxfId="10" priority="8" operator="equal">
      <formula>"REDESIGN"</formula>
    </cfRule>
    <cfRule type="cellIs" dxfId="9" priority="9" operator="equal">
      <formula>"OK!"</formula>
    </cfRule>
  </conditionalFormatting>
  <conditionalFormatting sqref="F181:G182 J191:Q199">
    <cfRule type="expression" dxfId="8" priority="2">
      <formula>OR($D$176=$F$68, $D$176=$F$69)</formula>
    </cfRule>
  </conditionalFormatting>
  <conditionalFormatting sqref="F81:H81">
    <cfRule type="cellIs" dxfId="7" priority="12" operator="equal">
      <formula>"OK!"</formula>
    </cfRule>
    <cfRule type="cellIs" dxfId="6" priority="13" operator="equal">
      <formula>"REDESIGN"</formula>
    </cfRule>
  </conditionalFormatting>
  <conditionalFormatting sqref="I94:I95">
    <cfRule type="cellIs" dxfId="5" priority="10" operator="equal">
      <formula>"REDESIGN"</formula>
    </cfRule>
    <cfRule type="cellIs" dxfId="4" priority="11" operator="equal">
      <formula>"OK!"</formula>
    </cfRule>
  </conditionalFormatting>
  <conditionalFormatting sqref="I44:K45">
    <cfRule type="cellIs" dxfId="3" priority="20" operator="equal">
      <formula>"OK!"</formula>
    </cfRule>
    <cfRule type="cellIs" dxfId="2" priority="21" operator="equal">
      <formula>"OK"</formula>
    </cfRule>
    <cfRule type="cellIs" dxfId="1" priority="22" operator="equal">
      <formula>"REDESIGN"</formula>
    </cfRule>
  </conditionalFormatting>
  <conditionalFormatting sqref="K179:Q187 C181:D182">
    <cfRule type="expression" dxfId="0" priority="1">
      <formula>$D$176=$F$70</formula>
    </cfRule>
  </conditionalFormatting>
  <dataValidations count="2">
    <dataValidation type="list" allowBlank="1" showInputMessage="1" showErrorMessage="1" sqref="C110 C205 C191 C125 C168 E117 E115" xr:uid="{E5543C4C-5737-42E0-87C7-20824F25809A}">
      <formula1>$Z$89:$Z$98</formula1>
    </dataValidation>
    <dataValidation type="list" allowBlank="1" showInputMessage="1" showErrorMessage="1" sqref="J134 J136 J138 J140 J142" xr:uid="{D75CC474-17A2-4FF3-BF00-73789F530149}">
      <formula1>$Z$87:$Z$96</formula1>
    </dataValidation>
  </dataValidations>
  <pageMargins left="0.7" right="0.7" top="0.75" bottom="0.75" header="0.3" footer="0.3"/>
  <pageSetup orientation="portrait" r:id="rId1"/>
  <ignoredErrors>
    <ignoredError sqref="G51:G55 G135:G142" formula="1"/>
    <ignoredError sqref="D114 F35:F36" unlockedFormula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Without Shear Key</vt:lpstr>
      <vt:lpstr>With Shear Key </vt:lpstr>
      <vt:lpstr>'Without Shear Key'!Print_Area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</dc:creator>
  <cp:lastModifiedBy>(FA22-CVE-051) FAIZAN MANSHAD</cp:lastModifiedBy>
  <cp:lastPrinted>2025-12-09T05:43:01Z</cp:lastPrinted>
  <dcterms:created xsi:type="dcterms:W3CDTF">2015-06-05T18:17:20Z</dcterms:created>
  <dcterms:modified xsi:type="dcterms:W3CDTF">2025-12-11T14:58:13Z</dcterms:modified>
</cp:coreProperties>
</file>